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ogo.marques\Documents\Aderência\"/>
    </mc:Choice>
  </mc:AlternateContent>
  <xr:revisionPtr revIDLastSave="0" documentId="13_ncr:1_{B19D1C18-7CFD-4FF4-A032-DF8CBDA2D0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role" sheetId="1" r:id="rId1"/>
    <sheet name="Clientes" sheetId="4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9" i="1" l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104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A5" i="3"/>
  <c r="B10" i="3" s="1"/>
  <c r="D5" i="3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3" i="1"/>
  <c r="J4" i="1"/>
  <c r="J5" i="1"/>
  <c r="J6" i="1"/>
  <c r="J7" i="1"/>
  <c r="J8" i="1"/>
  <c r="J9" i="1"/>
  <c r="J10" i="1"/>
  <c r="J11" i="1"/>
  <c r="J12" i="1"/>
  <c r="J13" i="1"/>
  <c r="E100" i="1"/>
  <c r="E95" i="1"/>
  <c r="E94" i="1" l="1"/>
  <c r="E96" i="1"/>
  <c r="E97" i="1"/>
  <c r="E98" i="1"/>
  <c r="E99" i="1"/>
  <c r="E101" i="1"/>
  <c r="E102" i="1"/>
  <c r="E103" i="1"/>
  <c r="E104" i="1"/>
  <c r="E105" i="1"/>
  <c r="E106" i="1"/>
  <c r="E107" i="1"/>
  <c r="E108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88" i="1"/>
  <c r="E89" i="1"/>
  <c r="E90" i="1"/>
  <c r="E91" i="1"/>
  <c r="E92" i="1"/>
  <c r="E93" i="1"/>
  <c r="E87" i="1"/>
  <c r="K93" i="1"/>
  <c r="L93" i="1" s="1"/>
  <c r="B93" i="1"/>
  <c r="K92" i="1"/>
  <c r="L92" i="1" s="1"/>
  <c r="B92" i="1"/>
  <c r="K91" i="1"/>
  <c r="L91" i="1" s="1"/>
  <c r="B91" i="1"/>
  <c r="K90" i="1"/>
  <c r="L90" i="1" s="1"/>
  <c r="B90" i="1"/>
  <c r="K89" i="1"/>
  <c r="L89" i="1" s="1"/>
  <c r="B89" i="1"/>
  <c r="K88" i="1"/>
  <c r="L88" i="1" s="1"/>
  <c r="B8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2" i="1"/>
  <c r="B19" i="3"/>
  <c r="B18" i="3"/>
  <c r="B17" i="3"/>
  <c r="E13" i="3"/>
  <c r="B11" i="3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L111" i="1" s="1"/>
  <c r="K110" i="1"/>
  <c r="L110" i="1" s="1"/>
  <c r="K109" i="1"/>
  <c r="L109" i="1" s="1"/>
  <c r="K108" i="1"/>
  <c r="L108" i="1" s="1"/>
  <c r="K107" i="1"/>
  <c r="L107" i="1" s="1"/>
  <c r="K106" i="1"/>
  <c r="L106" i="1" s="1"/>
  <c r="K105" i="1"/>
  <c r="L105" i="1" s="1"/>
  <c r="K104" i="1"/>
  <c r="L104" i="1" s="1"/>
  <c r="K103" i="1"/>
  <c r="L103" i="1" s="1"/>
  <c r="B103" i="1"/>
  <c r="K102" i="1"/>
  <c r="L102" i="1" s="1"/>
  <c r="B102" i="1"/>
  <c r="K101" i="1"/>
  <c r="L101" i="1" s="1"/>
  <c r="B101" i="1"/>
  <c r="K100" i="1"/>
  <c r="L100" i="1" s="1"/>
  <c r="B100" i="1"/>
  <c r="K99" i="1"/>
  <c r="L99" i="1" s="1"/>
  <c r="B99" i="1"/>
  <c r="K98" i="1"/>
  <c r="L98" i="1" s="1"/>
  <c r="B98" i="1"/>
  <c r="K97" i="1"/>
  <c r="L97" i="1" s="1"/>
  <c r="B97" i="1"/>
  <c r="K96" i="1"/>
  <c r="L96" i="1" s="1"/>
  <c r="B96" i="1"/>
  <c r="K95" i="1"/>
  <c r="B95" i="1"/>
  <c r="K94" i="1"/>
  <c r="B94" i="1"/>
  <c r="K87" i="1"/>
  <c r="L87" i="1" s="1"/>
  <c r="B87" i="1"/>
  <c r="K86" i="1"/>
  <c r="L86" i="1" s="1"/>
  <c r="B86" i="1"/>
  <c r="K85" i="1"/>
  <c r="L85" i="1" s="1"/>
  <c r="B85" i="1"/>
  <c r="K84" i="1"/>
  <c r="L84" i="1" s="1"/>
  <c r="B84" i="1"/>
  <c r="K83" i="1"/>
  <c r="L83" i="1" s="1"/>
  <c r="B83" i="1"/>
  <c r="K82" i="1"/>
  <c r="L82" i="1" s="1"/>
  <c r="B82" i="1"/>
  <c r="K81" i="1"/>
  <c r="L81" i="1" s="1"/>
  <c r="B81" i="1"/>
  <c r="K80" i="1"/>
  <c r="L80" i="1" s="1"/>
  <c r="B80" i="1"/>
  <c r="K79" i="1"/>
  <c r="L79" i="1" s="1"/>
  <c r="B79" i="1"/>
  <c r="K78" i="1"/>
  <c r="L78" i="1" s="1"/>
  <c r="B78" i="1"/>
  <c r="K77" i="1"/>
  <c r="L77" i="1" s="1"/>
  <c r="B77" i="1"/>
  <c r="K76" i="1"/>
  <c r="L76" i="1" s="1"/>
  <c r="B76" i="1"/>
  <c r="K75" i="1"/>
  <c r="L75" i="1" s="1"/>
  <c r="B75" i="1"/>
  <c r="K74" i="1"/>
  <c r="L74" i="1" s="1"/>
  <c r="B74" i="1"/>
  <c r="K73" i="1"/>
  <c r="B73" i="1"/>
  <c r="K72" i="1"/>
  <c r="L72" i="1" s="1"/>
  <c r="B72" i="1"/>
  <c r="K71" i="1"/>
  <c r="L71" i="1" s="1"/>
  <c r="B71" i="1"/>
  <c r="K70" i="1"/>
  <c r="L70" i="1" s="1"/>
  <c r="B70" i="1"/>
  <c r="K69" i="1"/>
  <c r="L69" i="1" s="1"/>
  <c r="B69" i="1"/>
  <c r="K68" i="1"/>
  <c r="L68" i="1" s="1"/>
  <c r="B68" i="1"/>
  <c r="K67" i="1"/>
  <c r="L67" i="1" s="1"/>
  <c r="B67" i="1"/>
  <c r="K66" i="1"/>
  <c r="L66" i="1" s="1"/>
  <c r="B66" i="1"/>
  <c r="K65" i="1"/>
  <c r="L65" i="1" s="1"/>
  <c r="B65" i="1"/>
  <c r="K64" i="1"/>
  <c r="L64" i="1" s="1"/>
  <c r="B64" i="1"/>
  <c r="K63" i="1"/>
  <c r="L63" i="1" s="1"/>
  <c r="B63" i="1"/>
  <c r="K62" i="1"/>
  <c r="L62" i="1" s="1"/>
  <c r="B62" i="1"/>
  <c r="K61" i="1"/>
  <c r="L61" i="1" s="1"/>
  <c r="B61" i="1"/>
  <c r="K60" i="1"/>
  <c r="L60" i="1" s="1"/>
  <c r="B60" i="1"/>
  <c r="K59" i="1"/>
  <c r="L59" i="1" s="1"/>
  <c r="B59" i="1"/>
  <c r="K58" i="1"/>
  <c r="L58" i="1" s="1"/>
  <c r="B58" i="1"/>
  <c r="K57" i="1"/>
  <c r="L57" i="1" s="1"/>
  <c r="B57" i="1"/>
  <c r="K56" i="1"/>
  <c r="L56" i="1" s="1"/>
  <c r="B56" i="1"/>
  <c r="K55" i="1"/>
  <c r="L55" i="1" s="1"/>
  <c r="B55" i="1"/>
  <c r="K54" i="1"/>
  <c r="L54" i="1" s="1"/>
  <c r="B54" i="1"/>
  <c r="K53" i="1"/>
  <c r="L53" i="1" s="1"/>
  <c r="B53" i="1"/>
  <c r="K52" i="1"/>
  <c r="L52" i="1" s="1"/>
  <c r="B52" i="1"/>
  <c r="K51" i="1"/>
  <c r="L51" i="1" s="1"/>
  <c r="B51" i="1"/>
  <c r="K50" i="1"/>
  <c r="L50" i="1" s="1"/>
  <c r="B50" i="1"/>
  <c r="K49" i="1"/>
  <c r="L49" i="1" s="1"/>
  <c r="B49" i="1"/>
  <c r="K48" i="1"/>
  <c r="L48" i="1" s="1"/>
  <c r="B48" i="1"/>
  <c r="K47" i="1"/>
  <c r="L47" i="1" s="1"/>
  <c r="B47" i="1"/>
  <c r="K46" i="1"/>
  <c r="L46" i="1" s="1"/>
  <c r="B46" i="1"/>
  <c r="K45" i="1"/>
  <c r="L45" i="1" s="1"/>
  <c r="B45" i="1"/>
  <c r="K44" i="1"/>
  <c r="L44" i="1" s="1"/>
  <c r="B44" i="1"/>
  <c r="K43" i="1"/>
  <c r="L43" i="1" s="1"/>
  <c r="B43" i="1"/>
  <c r="K42" i="1"/>
  <c r="L42" i="1" s="1"/>
  <c r="B42" i="1"/>
  <c r="K41" i="1"/>
  <c r="L41" i="1" s="1"/>
  <c r="B41" i="1"/>
  <c r="K40" i="1"/>
  <c r="L40" i="1" s="1"/>
  <c r="B40" i="1"/>
  <c r="K39" i="1"/>
  <c r="L39" i="1" s="1"/>
  <c r="B39" i="1"/>
  <c r="K38" i="1"/>
  <c r="L38" i="1" s="1"/>
  <c r="B38" i="1"/>
  <c r="K37" i="1"/>
  <c r="L37" i="1" s="1"/>
  <c r="B37" i="1"/>
  <c r="K36" i="1"/>
  <c r="L36" i="1" s="1"/>
  <c r="B36" i="1"/>
  <c r="K35" i="1"/>
  <c r="L35" i="1" s="1"/>
  <c r="B35" i="1"/>
  <c r="K34" i="1"/>
  <c r="L34" i="1" s="1"/>
  <c r="B34" i="1"/>
  <c r="K33" i="1"/>
  <c r="L33" i="1" s="1"/>
  <c r="B33" i="1"/>
  <c r="K32" i="1"/>
  <c r="L32" i="1" s="1"/>
  <c r="B32" i="1"/>
  <c r="K31" i="1"/>
  <c r="L31" i="1" s="1"/>
  <c r="B31" i="1"/>
  <c r="K30" i="1"/>
  <c r="L30" i="1" s="1"/>
  <c r="B30" i="1"/>
  <c r="K29" i="1"/>
  <c r="L29" i="1" s="1"/>
  <c r="B29" i="1"/>
  <c r="K28" i="1"/>
  <c r="L28" i="1" s="1"/>
  <c r="B28" i="1"/>
  <c r="K27" i="1"/>
  <c r="L27" i="1" s="1"/>
  <c r="B27" i="1"/>
  <c r="K26" i="1"/>
  <c r="L26" i="1" s="1"/>
  <c r="B26" i="1"/>
  <c r="K25" i="1"/>
  <c r="L25" i="1" s="1"/>
  <c r="B25" i="1"/>
  <c r="K24" i="1"/>
  <c r="L24" i="1" s="1"/>
  <c r="B24" i="1"/>
  <c r="K23" i="1"/>
  <c r="L23" i="1" s="1"/>
  <c r="B23" i="1"/>
  <c r="K22" i="1"/>
  <c r="L22" i="1" s="1"/>
  <c r="B22" i="1"/>
  <c r="K21" i="1"/>
  <c r="L21" i="1" s="1"/>
  <c r="B21" i="1"/>
  <c r="K20" i="1"/>
  <c r="L20" i="1" s="1"/>
  <c r="B20" i="1"/>
  <c r="K19" i="1"/>
  <c r="L19" i="1" s="1"/>
  <c r="B19" i="1"/>
  <c r="K18" i="1"/>
  <c r="L18" i="1" s="1"/>
  <c r="B18" i="1"/>
  <c r="K17" i="1"/>
  <c r="L17" i="1" s="1"/>
  <c r="B17" i="1"/>
  <c r="K16" i="1"/>
  <c r="L16" i="1" s="1"/>
  <c r="B16" i="1"/>
  <c r="K15" i="1"/>
  <c r="L15" i="1" s="1"/>
  <c r="B15" i="1"/>
  <c r="K14" i="1"/>
  <c r="L14" i="1" s="1"/>
  <c r="B14" i="1"/>
  <c r="K13" i="1"/>
  <c r="L13" i="1" s="1"/>
  <c r="B13" i="1"/>
  <c r="K12" i="1"/>
  <c r="L12" i="1" s="1"/>
  <c r="B12" i="1"/>
  <c r="K11" i="1"/>
  <c r="L11" i="1" s="1"/>
  <c r="B11" i="1"/>
  <c r="K10" i="1"/>
  <c r="L10" i="1" s="1"/>
  <c r="B10" i="1"/>
  <c r="K9" i="1"/>
  <c r="L9" i="1" s="1"/>
  <c r="B9" i="1"/>
  <c r="K8" i="1"/>
  <c r="L8" i="1" s="1"/>
  <c r="B8" i="1"/>
  <c r="K7" i="1"/>
  <c r="L7" i="1" s="1"/>
  <c r="B7" i="1"/>
  <c r="K6" i="1"/>
  <c r="L6" i="1" s="1"/>
  <c r="B6" i="1"/>
  <c r="K5" i="1"/>
  <c r="L5" i="1" s="1"/>
  <c r="B5" i="1"/>
  <c r="K4" i="1"/>
  <c r="L4" i="1" s="1"/>
  <c r="B4" i="1"/>
  <c r="K3" i="1"/>
  <c r="L3" i="1" s="1"/>
  <c r="B3" i="1"/>
  <c r="K2" i="1"/>
  <c r="J2" i="1"/>
  <c r="B2" i="1"/>
  <c r="L73" i="1" l="1"/>
  <c r="L2" i="1"/>
  <c r="L94" i="1"/>
  <c r="L95" i="1"/>
  <c r="B20" i="3"/>
  <c r="D18" i="3" s="1"/>
  <c r="E11" i="3"/>
  <c r="E12" i="3"/>
  <c r="D19" i="3" s="1"/>
  <c r="E10" i="3"/>
  <c r="G5" i="3"/>
  <c r="J5" i="3"/>
  <c r="B12" i="3" s="1"/>
</calcChain>
</file>

<file path=xl/sharedStrings.xml><?xml version="1.0" encoding="utf-8"?>
<sst xmlns="http://schemas.openxmlformats.org/spreadsheetml/2006/main" count="492" uniqueCount="233">
  <si>
    <t>Data</t>
  </si>
  <si>
    <t>Mês</t>
  </si>
  <si>
    <t>Área</t>
  </si>
  <si>
    <t>Equipamento</t>
  </si>
  <si>
    <t>Relatório necessário?</t>
  </si>
  <si>
    <t>Responsável</t>
  </si>
  <si>
    <t>Atividade</t>
  </si>
  <si>
    <t>Programado</t>
  </si>
  <si>
    <t>Executado</t>
  </si>
  <si>
    <t>Diferença</t>
  </si>
  <si>
    <t>% Execução</t>
  </si>
  <si>
    <t>Status</t>
  </si>
  <si>
    <t>Observação</t>
  </si>
  <si>
    <t>Data Conclusão</t>
  </si>
  <si>
    <t>Motivo Desvio</t>
  </si>
  <si>
    <t>Relatório emitido?</t>
  </si>
  <si>
    <t>MARIMEX</t>
  </si>
  <si>
    <t>Galacho / Muller</t>
  </si>
  <si>
    <t>Manutenção preventiva de 1.500 horas</t>
  </si>
  <si>
    <t>TRANSBRASA</t>
  </si>
  <si>
    <t>Davi / Danilson</t>
  </si>
  <si>
    <t>Manutenção preditiva de 750 horas</t>
  </si>
  <si>
    <t>DINAMO ALEMOA</t>
  </si>
  <si>
    <t>Gabriel / Muller</t>
  </si>
  <si>
    <t>Manutenção preventiva de 17.250 – Frota 03</t>
  </si>
  <si>
    <t>DELLA VOLPE</t>
  </si>
  <si>
    <t>Davi / Leandro</t>
  </si>
  <si>
    <t>Manutenção preventiva de 10.000 horas</t>
  </si>
  <si>
    <t>CGM LOGÍSTICA</t>
  </si>
  <si>
    <t>joao / Danilson</t>
  </si>
  <si>
    <t>Manutenção preditiva de 3.750 horas</t>
  </si>
  <si>
    <t>DINAMO ANCHIETA</t>
  </si>
  <si>
    <t>Davi / Muller</t>
  </si>
  <si>
    <t>Inspeções de rotina</t>
  </si>
  <si>
    <t xml:space="preserve">ISIS PÁTIO 01 </t>
  </si>
  <si>
    <t>Galacho</t>
  </si>
  <si>
    <t>Montagem do motor QSM11 Frota 08</t>
  </si>
  <si>
    <t>Precisou levantar lança</t>
  </si>
  <si>
    <t>ISIS PÁTIO 02</t>
  </si>
  <si>
    <t>Carlos</t>
  </si>
  <si>
    <t>Avaliar a trinca da lança Frota 03, inspecionar na Porto Brasil o serviço do diferencial</t>
  </si>
  <si>
    <t>EQUIPORT</t>
  </si>
  <si>
    <t>Pereira / Danilson</t>
  </si>
  <si>
    <t>Efetuar a reparação nos chicotes da transmissão e do chassi</t>
  </si>
  <si>
    <t>Emergencia marimex</t>
  </si>
  <si>
    <t>Leandro / Matheus</t>
  </si>
  <si>
    <t>Efetuar a limpeza dos aros de roda para fazer ensaios</t>
  </si>
  <si>
    <t>João Mauricio / Gabriel</t>
  </si>
  <si>
    <t>Sacar bucha danificada da lança móvel, avaliar mangueiras do chassi sem retirar, separação das peças do chassi e lança</t>
  </si>
  <si>
    <t>Falta separação das peças do chassi e lança</t>
  </si>
  <si>
    <t>Arthur</t>
  </si>
  <si>
    <t>Fazer lista de peças faltante e danificada</t>
  </si>
  <si>
    <t>CRAGEA</t>
  </si>
  <si>
    <t>Pereira / Muller</t>
  </si>
  <si>
    <t>Manutenção preventiva de 5.000 horas</t>
  </si>
  <si>
    <t>Manutenção preditiva de 1.250 horas KC1</t>
  </si>
  <si>
    <t>Gabriel / Danilson</t>
  </si>
  <si>
    <t>Manutenção preventiva de 150 horas E-404</t>
  </si>
  <si>
    <t>Carlos / Matheus</t>
  </si>
  <si>
    <t xml:space="preserve">Alterar a posição que está calçado o equipamento EQP007 </t>
  </si>
  <si>
    <t>Manutenção preditiva de 1.250 horas – KC3</t>
  </si>
  <si>
    <t>Manutenção preventiva de 150 horas – E-405</t>
  </si>
  <si>
    <t>Analisar o mecanismo do anti-tombamento, se houver necessidade já substituir</t>
  </si>
  <si>
    <t>Atendimento Transtec</t>
  </si>
  <si>
    <t xml:space="preserve">João Mauricio </t>
  </si>
  <si>
    <t>Verificar escapamento danificado, reparar com as peças compradas e algumas peças que veio da Granport</t>
  </si>
  <si>
    <t>Arthur / Matheus</t>
  </si>
  <si>
    <t>Fixação dos tubos e calhas do chassi</t>
  </si>
  <si>
    <t>Realizado a remoção das rotulas do link e limpeza.</t>
  </si>
  <si>
    <t>Falta abraçadeiras, parafusos e porca</t>
  </si>
  <si>
    <t>Dar continuação nos serviços de reparação nos chicotes da transmissão e do chassi, revisão da chave geral e contatora</t>
  </si>
  <si>
    <t>DP WORLD</t>
  </si>
  <si>
    <t>Inspeções e lavagens dos equipamentos</t>
  </si>
  <si>
    <t>LSL TRANSPORTES</t>
  </si>
  <si>
    <t>Limpeza do tanque ARLA</t>
  </si>
  <si>
    <t>Falta de material (parafusos )</t>
  </si>
  <si>
    <t>Arthur / Gabriel</t>
  </si>
  <si>
    <t>Continuação, fixação dos tubos e calhas do chassi, substituição das rótulas dos links de direção, analisar o mecanismo do anti-tombamento, se houver necessidade já substituir</t>
  </si>
  <si>
    <t>Link não bate as especificação tecnica.</t>
  </si>
  <si>
    <t>João Mauricio / Danilson</t>
  </si>
  <si>
    <t>Continuação, reparar escapamento danificado</t>
  </si>
  <si>
    <t>Verificar junto com o Flavio os serviços a serem realizados nessa semana na EQP007</t>
  </si>
  <si>
    <t>CESARI</t>
  </si>
  <si>
    <t>Leandro</t>
  </si>
  <si>
    <t>Manutenção preventiva de 500 horas Empilhadeira Elétrica KONECRANES</t>
  </si>
  <si>
    <t>MOVECTA ITAJÁI </t>
  </si>
  <si>
    <t>Pereira</t>
  </si>
  <si>
    <t>(Manutenção preventiva de 1.500 horas</t>
  </si>
  <si>
    <t>S. MAGALHÃES </t>
  </si>
  <si>
    <t>Verificar as pressões hidráulica – problema na bomba hidráulica</t>
  </si>
  <si>
    <t>Arthur / Galacho</t>
  </si>
  <si>
    <t>Substituir o cilindro de telescopagem Frota 02</t>
  </si>
  <si>
    <t>Inspeções de rotina nas 03 máquinas</t>
  </si>
  <si>
    <t>Instalar peças aprovadas – tampa do tanque de expansão e sensor de 0 a 25 bar da transmissão</t>
  </si>
  <si>
    <t>Décio / João Mauricio</t>
  </si>
  <si>
    <t>Continuação, reparar escapamento danificado, com as peças compradas e algumas peças que veio da Granpor</t>
  </si>
  <si>
    <t>Gabriel / Danilson / Matheus</t>
  </si>
  <si>
    <t>Limpeza dos chicotes elétricos</t>
  </si>
  <si>
    <t>NELCAR</t>
  </si>
  <si>
    <t>Manutenção preventiva de 1.500 horas + verificar o vazamento no redutor de giro e fazer testes</t>
  </si>
  <si>
    <t>Muller</t>
  </si>
  <si>
    <t>Verificar a bomba hidráulica de 105cc</t>
  </si>
  <si>
    <t xml:space="preserve">Gabriel / Matheus </t>
  </si>
  <si>
    <t>Limpeza da contenção de óleo</t>
  </si>
  <si>
    <t>Galacho / Leandro</t>
  </si>
  <si>
    <t>Organização e limpeza da oficina, EQP007, separação de parafusos</t>
  </si>
  <si>
    <t>INTERMARÍTIMA</t>
  </si>
  <si>
    <t>João Mauricio</t>
  </si>
  <si>
    <t>Manutenção preventiva de 500 horas</t>
  </si>
  <si>
    <t>levantamento das peças da 08.</t>
  </si>
  <si>
    <t>Galacho / Danilson</t>
  </si>
  <si>
    <t>Remover o cabeçote do cilindro de telescopagem e realizar o 5S. Eqp07</t>
  </si>
  <si>
    <t>Verificar e preparar as peças da bomba hidráulica para envio, além de realizar o reposicionamento de peças na oficina.</t>
  </si>
  <si>
    <t>Gabriel</t>
  </si>
  <si>
    <t>Verificar a passagem de água na Manitou.</t>
  </si>
  <si>
    <t>Leandro / Davi</t>
  </si>
  <si>
    <t>Lavar a LS90 e verificar as válvulas e os anéis da fatia da LS. Eqp07</t>
  </si>
  <si>
    <t>Arthur / Matheus:</t>
  </si>
  <si>
    <t>Realizar o 5S no contêiner.</t>
  </si>
  <si>
    <t xml:space="preserve">Arthur / Danilson </t>
  </si>
  <si>
    <t>Manutenção preventiva de 1.000 horas E-402</t>
  </si>
  <si>
    <t>EUDMARCO</t>
  </si>
  <si>
    <t>Manutenção preventiva de 2.000 horas GP09</t>
  </si>
  <si>
    <t xml:space="preserve">Galacho/Dèrcio </t>
  </si>
  <si>
    <t>Movimentação de materiais, equipamentos e peças + Lavagem do chassi EQP07</t>
  </si>
  <si>
    <t xml:space="preserve">Davi/Carlos </t>
  </si>
  <si>
    <t>Reparar e montar 02 bombas 105 e L.s + 5s</t>
  </si>
  <si>
    <t>Atendimento DW e Nelcar</t>
  </si>
  <si>
    <t xml:space="preserve">Leandro/Matheus </t>
  </si>
  <si>
    <t>Lavagem da cabine que se encontra avariada + empapelamento+ lavar carro09</t>
  </si>
  <si>
    <t>Revisar e montar chicote da cabine EQP07</t>
  </si>
  <si>
    <t>Atendimento cesari</t>
  </si>
  <si>
    <t>AURORA TERMINAIS</t>
  </si>
  <si>
    <t>Carlos / Danilson</t>
  </si>
  <si>
    <t>Manutenção preventiva de 9.500 horas + verificar sistema de freio estacionário</t>
  </si>
  <si>
    <t>Verificar sistema do ar-condicionado E-405 não está gelando</t>
  </si>
  <si>
    <t>NYK</t>
  </si>
  <si>
    <t>Carlos / Muller</t>
  </si>
  <si>
    <t>Retirar o cilindro da quinta roda do Terberg</t>
  </si>
  <si>
    <t xml:space="preserve">Pereira / Davi </t>
  </si>
  <si>
    <t>Revisar e montar chicote da cabine</t>
  </si>
  <si>
    <t>Fazer documentação de viagem + esvaziar a Strada FVS8G25 e levar na oficina</t>
  </si>
  <si>
    <t>Efetuar a desmontagem das calhas da esteira da lança, preparando para pintura</t>
  </si>
  <si>
    <t>Efetuar a instalação dos bicos injetores + regulagem de válvulas e troca da junta da tampa de válvulas</t>
  </si>
  <si>
    <t>Gabriel / Leandro</t>
  </si>
  <si>
    <t>Efetuar a lavagem geral do chassi, removendo os respingos de soldas</t>
  </si>
  <si>
    <t xml:space="preserve">Carlos </t>
  </si>
  <si>
    <t>Manutenção corretiva, sistema de freio “levar acumuladores de freio</t>
  </si>
  <si>
    <t xml:space="preserve"> (Manutenção preventiva de 1.000 horas KC-2</t>
  </si>
  <si>
    <t>MOVECTA GUARUJÁ</t>
  </si>
  <si>
    <t>Pereira / Dav</t>
  </si>
  <si>
    <t>Galacho / Matheus</t>
  </si>
  <si>
    <t>Efetuar a montagem do LS90 + limpeza do chassi</t>
  </si>
  <si>
    <t>João Mauricio / Galacho</t>
  </si>
  <si>
    <t>Revisar e montar chicote da cabine e acessórios</t>
  </si>
  <si>
    <t>Gabriel / Matheus</t>
  </si>
  <si>
    <t>Efetuar a montagem do LS90 + retirar mancal da lança LE</t>
  </si>
  <si>
    <t xml:space="preserve">Davi / Danilson </t>
  </si>
  <si>
    <t>Desmontar a condensadora e efetuar a peritagem, filtro secador e limpeza da evaporadora</t>
  </si>
  <si>
    <t>Efetuar avaliação das bombas recondicionadas para envio de reparação + visita no Platini para acompanhar os serviços</t>
  </si>
  <si>
    <t>TRANSTEC</t>
  </si>
  <si>
    <t>Foram fazer inspeçao DINAMO alemoa e CGM</t>
  </si>
  <si>
    <t>O cliente cancelou a preventiva</t>
  </si>
  <si>
    <t>SANTOS BRASIL</t>
  </si>
  <si>
    <t>Retirar as amostras de óleos – TERBERG</t>
  </si>
  <si>
    <t>Efetuar a retirada das bombas hidráulicas do equipamento para a bancada</t>
  </si>
  <si>
    <t>Retornar o óleo hidráulico para o equipamento, utilizar a bomba comprada para fazermos os testes + abastecer o IBC com o óleo hidráulico</t>
  </si>
  <si>
    <t xml:space="preserve">Danilson </t>
  </si>
  <si>
    <t>Desmontar a condensadora e efetuar a peritagem e filtro secador + revisar as mangueiras)</t>
  </si>
  <si>
    <t>Fazer ensaio LP do mancal traseiro da lança, caso não tenha trinca, realizar a montagem</t>
  </si>
  <si>
    <t>preparar o eixo da balança “oficina externo” + preparar o eixo da manga da balança “oficina interna” + fazer 5S na oficina</t>
  </si>
  <si>
    <t xml:space="preserve">Realizar atendimento na Transtec “vazamento pela conexão” </t>
  </si>
  <si>
    <t>Sim</t>
  </si>
  <si>
    <t>EDI AURORA</t>
  </si>
  <si>
    <t>TERRA MASTER</t>
  </si>
  <si>
    <t>ADUKARGO</t>
  </si>
  <si>
    <t>ARBAZA</t>
  </si>
  <si>
    <t>BTP</t>
  </si>
  <si>
    <t>Não</t>
  </si>
  <si>
    <t>DALASTRA</t>
  </si>
  <si>
    <t>EADI TUBATÉ</t>
  </si>
  <si>
    <t>ELDORADO</t>
  </si>
  <si>
    <t>LACHMANN</t>
  </si>
  <si>
    <t>MHWIRTH</t>
  </si>
  <si>
    <t>SATEL</t>
  </si>
  <si>
    <t>SIGMA</t>
  </si>
  <si>
    <t>TIS</t>
  </si>
  <si>
    <t>TRANSMODAL</t>
  </si>
  <si>
    <t>Aderência à Programação</t>
  </si>
  <si>
    <t>Consolidado do período registrado | Fonte: aba Controle</t>
  </si>
  <si>
    <t>Horas programadas</t>
  </si>
  <si>
    <t>Horas executadas</t>
  </si>
  <si>
    <t>Aderência</t>
  </si>
  <si>
    <t>Horas pendentes</t>
  </si>
  <si>
    <t>Indicador</t>
  </si>
  <si>
    <t>Horas</t>
  </si>
  <si>
    <t>Atividades</t>
  </si>
  <si>
    <t>Programadas</t>
  </si>
  <si>
    <t>Concluídas</t>
  </si>
  <si>
    <t>Executadas</t>
  </si>
  <si>
    <t>Não executadas</t>
  </si>
  <si>
    <t>Pendentes</t>
  </si>
  <si>
    <t>Sem status</t>
  </si>
  <si>
    <t>Total</t>
  </si>
  <si>
    <t>Leitura gerencial</t>
  </si>
  <si>
    <t>A aderência é calculada em horas programadas.</t>
  </si>
  <si>
    <t>ISIS PÁTIO 01</t>
  </si>
  <si>
    <t>EQP07</t>
  </si>
  <si>
    <t xml:space="preserve">Davi / Muller </t>
  </si>
  <si>
    <t>Manutenção preventiva de 1.000 horas</t>
  </si>
  <si>
    <t>Montagem dos acessórios de dentro da cabine</t>
  </si>
  <si>
    <t>Realizar a montagem do mancal da lança</t>
  </si>
  <si>
    <t>Desmontagem e peritagem das bombas hidráulicas</t>
  </si>
  <si>
    <t>Manutenção preventiva de 2.000 horas</t>
  </si>
  <si>
    <t>Montar o cubo de roda</t>
  </si>
  <si>
    <t>Peritagem e montagem das bombas hidráulicas</t>
  </si>
  <si>
    <t xml:space="preserve">João Mauricio / Matheus </t>
  </si>
  <si>
    <t>Preparação da lança fixa para pintura</t>
  </si>
  <si>
    <t>Choveu bastante</t>
  </si>
  <si>
    <t>Continuação Manutenção preventiva de 2.000 horas</t>
  </si>
  <si>
    <t>Finalizar montagem das bombas hidráulicas</t>
  </si>
  <si>
    <t>Montagem das bombas hidráulicas no equipamento EQP007</t>
  </si>
  <si>
    <t xml:space="preserve">Davi / Matheus </t>
  </si>
  <si>
    <t>retirada dos lubrificantes para a preventiva da EQP003 + fazer 5S no almoxarifado externo</t>
  </si>
  <si>
    <t>Flavio / Gabriel</t>
  </si>
  <si>
    <t>Carlos / Gabriel</t>
  </si>
  <si>
    <t xml:space="preserve">Substituir os módulos do spreader “garantia” E-402 </t>
  </si>
  <si>
    <t>Substituir os módulos do spreader “garantia”  E-403</t>
  </si>
  <si>
    <t>Davi / Matheus</t>
  </si>
  <si>
    <t>Inspeção de rotina</t>
  </si>
  <si>
    <t>Montagem das bombas hidráulicas, mangueiras e agregados</t>
  </si>
  <si>
    <t>Décio / Danilson</t>
  </si>
  <si>
    <t>Término da montagem dos armários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</si>
</sst>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&quot; h&quot;"/>
  </numFmts>
  <fonts count="24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242424"/>
      <name val="Aptos"/>
      <family val="2"/>
    </font>
    <font>
      <sz val="12"/>
      <color rgb="FF242424"/>
      <name val="Times New Roman"/>
      <family val="1"/>
    </font>
    <font>
      <b/>
      <sz val="12"/>
      <color rgb="FFFFFFFF"/>
      <name val="Calibri"/>
      <family val="2"/>
    </font>
    <font>
      <sz val="12"/>
      <color rgb="FF000000"/>
      <name val="Aptos"/>
      <family val="2"/>
    </font>
    <font>
      <sz val="12"/>
      <color theme="1"/>
      <name val="Aptos"/>
      <family val="2"/>
    </font>
    <font>
      <sz val="10"/>
      <color rgb="FF17365D"/>
      <name val="Arial"/>
      <family val="2"/>
    </font>
    <font>
      <b/>
      <sz val="18"/>
      <color rgb="FF17365D"/>
      <name val="Arial"/>
      <family val="2"/>
    </font>
    <font>
      <i/>
      <sz val="10"/>
      <color rgb="FF5B6573"/>
      <name val="Arial"/>
      <family val="2"/>
    </font>
    <font>
      <b/>
      <sz val="10"/>
      <color rgb="FF5B6573"/>
      <name val="Arial"/>
      <family val="2"/>
    </font>
    <font>
      <b/>
      <sz val="19"/>
      <color rgb="FF17365D"/>
      <name val="Arial"/>
      <family val="2"/>
    </font>
    <font>
      <b/>
      <sz val="19"/>
      <color rgb="FF2E7D32"/>
      <name val="Arial"/>
      <family val="2"/>
    </font>
    <font>
      <b/>
      <sz val="19"/>
      <color rgb="FF2F75B5"/>
      <name val="Arial"/>
      <family val="2"/>
    </font>
    <font>
      <b/>
      <sz val="19"/>
      <color rgb="FFD98E04"/>
      <name val="Arial"/>
      <family val="2"/>
    </font>
    <font>
      <b/>
      <sz val="10"/>
      <color rgb="FFFFFFFF"/>
      <name val="Arial"/>
      <family val="2"/>
    </font>
    <font>
      <sz val="10"/>
      <color rgb="FF7A5700"/>
      <name val="Arial"/>
      <family val="2"/>
    </font>
    <font>
      <b/>
      <sz val="10"/>
      <color rgb="FF7A5700"/>
      <name val="Arial"/>
      <family val="2"/>
    </font>
    <font>
      <sz val="10"/>
      <color rgb="FF5B6573"/>
      <name val="Arial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2"/>
      <color theme="1"/>
      <name val="Calibri"/>
      <family val="2"/>
    </font>
    <font>
      <sz val="12"/>
      <color theme="1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59990234076967686"/>
        <bgColor indexed="65"/>
      </patternFill>
    </fill>
    <fill>
      <patternFill patternType="solid">
        <fgColor theme="4" tint="0.79989013336588644"/>
        <bgColor indexed="65"/>
      </patternFill>
    </fill>
    <fill>
      <patternFill patternType="solid">
        <fgColor rgb="FFFFFFFF"/>
      </patternFill>
    </fill>
    <fill>
      <patternFill patternType="solid">
        <fgColor rgb="FFF4F7FA"/>
      </patternFill>
    </fill>
    <fill>
      <patternFill patternType="solid">
        <fgColor rgb="FF17365D"/>
      </patternFill>
    </fill>
    <fill>
      <patternFill patternType="solid">
        <fgColor rgb="FFFFF4CC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6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medium">
        <color rgb="FF2F75B5"/>
      </bottom>
      <diagonal/>
    </border>
    <border>
      <left/>
      <right/>
      <top/>
      <bottom style="medium">
        <color rgb="FF17365D"/>
      </bottom>
      <diagonal/>
    </border>
    <border>
      <left/>
      <right/>
      <top/>
      <bottom style="medium">
        <color rgb="FF2E7D32"/>
      </bottom>
      <diagonal/>
    </border>
    <border>
      <left/>
      <right/>
      <top/>
      <bottom style="medium">
        <color rgb="FFD98E04"/>
      </bottom>
      <diagonal/>
    </border>
    <border>
      <left style="thin">
        <color rgb="FFB8C7D9"/>
      </left>
      <right/>
      <top style="thin">
        <color rgb="FFB8C7D9"/>
      </top>
      <bottom/>
      <diagonal/>
    </border>
    <border>
      <left/>
      <right style="thin">
        <color rgb="FFB8C7D9"/>
      </right>
      <top style="thin">
        <color rgb="FFB8C7D9"/>
      </top>
      <bottom/>
      <diagonal/>
    </border>
    <border>
      <left style="thin">
        <color rgb="FFB8C7D9"/>
      </left>
      <right/>
      <top/>
      <bottom/>
      <diagonal/>
    </border>
    <border>
      <left/>
      <right style="thin">
        <color rgb="FFB8C7D9"/>
      </right>
      <top/>
      <bottom/>
      <diagonal/>
    </border>
    <border>
      <left style="thin">
        <color rgb="FFB8C7D9"/>
      </left>
      <right/>
      <top/>
      <bottom style="thin">
        <color rgb="FFB8C7D9"/>
      </bottom>
      <diagonal/>
    </border>
    <border>
      <left/>
      <right style="thin">
        <color rgb="FFB8C7D9"/>
      </right>
      <top/>
      <bottom style="thin">
        <color rgb="FFB8C7D9"/>
      </bottom>
      <diagonal/>
    </border>
    <border>
      <left/>
      <right/>
      <top style="thin">
        <color rgb="FFB8C7D9"/>
      </top>
      <bottom/>
      <diagonal/>
    </border>
    <border>
      <left/>
      <right/>
      <top/>
      <bottom style="thin">
        <color rgb="FFB8C7D9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14" fontId="5" fillId="2" borderId="0" xfId="0" applyNumberFormat="1" applyFont="1" applyFill="1"/>
    <xf numFmtId="0" fontId="5" fillId="2" borderId="0" xfId="0" applyFont="1" applyFill="1"/>
    <xf numFmtId="14" fontId="2" fillId="0" borderId="0" xfId="0" applyNumberFormat="1" applyFont="1"/>
    <xf numFmtId="164" fontId="2" fillId="0" borderId="0" xfId="0" applyNumberFormat="1" applyFont="1"/>
    <xf numFmtId="14" fontId="2" fillId="3" borderId="1" xfId="0" applyNumberFormat="1" applyFont="1" applyFill="1" applyBorder="1"/>
    <xf numFmtId="0" fontId="2" fillId="3" borderId="2" xfId="0" applyFont="1" applyFill="1" applyBorder="1"/>
    <xf numFmtId="0" fontId="2" fillId="0" borderId="0" xfId="0" applyFont="1" applyAlignment="1">
      <alignment wrapText="1"/>
    </xf>
    <xf numFmtId="0" fontId="2" fillId="4" borderId="2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5" borderId="0" xfId="0" applyFont="1" applyFill="1"/>
    <xf numFmtId="0" fontId="10" fillId="0" borderId="0" xfId="0" applyFont="1"/>
    <xf numFmtId="0" fontId="8" fillId="0" borderId="3" xfId="0" applyFont="1" applyBorder="1"/>
    <xf numFmtId="0" fontId="8" fillId="6" borderId="0" xfId="0" applyFont="1" applyFill="1"/>
    <xf numFmtId="0" fontId="11" fillId="6" borderId="0" xfId="0" applyFont="1" applyFill="1"/>
    <xf numFmtId="165" fontId="12" fillId="6" borderId="0" xfId="0" applyNumberFormat="1" applyFont="1" applyFill="1"/>
    <xf numFmtId="0" fontId="8" fillId="6" borderId="4" xfId="0" applyFont="1" applyFill="1" applyBorder="1"/>
    <xf numFmtId="165" fontId="13" fillId="6" borderId="0" xfId="0" applyNumberFormat="1" applyFont="1" applyFill="1"/>
    <xf numFmtId="0" fontId="8" fillId="6" borderId="5" xfId="0" applyFont="1" applyFill="1" applyBorder="1"/>
    <xf numFmtId="9" fontId="14" fillId="6" borderId="0" xfId="0" applyNumberFormat="1" applyFont="1" applyFill="1"/>
    <xf numFmtId="0" fontId="8" fillId="6" borderId="3" xfId="0" applyFont="1" applyFill="1" applyBorder="1"/>
    <xf numFmtId="165" fontId="15" fillId="6" borderId="0" xfId="0" applyNumberFormat="1" applyFont="1" applyFill="1"/>
    <xf numFmtId="0" fontId="8" fillId="6" borderId="6" xfId="0" applyFont="1" applyFill="1" applyBorder="1"/>
    <xf numFmtId="0" fontId="16" fillId="7" borderId="7" xfId="0" applyFont="1" applyFill="1" applyBorder="1"/>
    <xf numFmtId="0" fontId="16" fillId="7" borderId="8" xfId="0" applyFont="1" applyFill="1" applyBorder="1"/>
    <xf numFmtId="0" fontId="8" fillId="5" borderId="9" xfId="0" applyFont="1" applyFill="1" applyBorder="1"/>
    <xf numFmtId="165" fontId="8" fillId="5" borderId="10" xfId="0" applyNumberFormat="1" applyFont="1" applyFill="1" applyBorder="1"/>
    <xf numFmtId="0" fontId="8" fillId="5" borderId="11" xfId="0" applyFont="1" applyFill="1" applyBorder="1"/>
    <xf numFmtId="165" fontId="8" fillId="5" borderId="12" xfId="0" applyNumberFormat="1" applyFont="1" applyFill="1" applyBorder="1"/>
    <xf numFmtId="0" fontId="8" fillId="5" borderId="10" xfId="0" applyFont="1" applyFill="1" applyBorder="1"/>
    <xf numFmtId="0" fontId="8" fillId="5" borderId="12" xfId="0" applyFont="1" applyFill="1" applyBorder="1"/>
    <xf numFmtId="0" fontId="17" fillId="8" borderId="9" xfId="0" applyFont="1" applyFill="1" applyBorder="1"/>
    <xf numFmtId="0" fontId="17" fillId="8" borderId="10" xfId="0" applyFont="1" applyFill="1" applyBorder="1"/>
    <xf numFmtId="0" fontId="18" fillId="8" borderId="11" xfId="0" applyFont="1" applyFill="1" applyBorder="1"/>
    <xf numFmtId="165" fontId="18" fillId="8" borderId="12" xfId="0" applyNumberFormat="1" applyFont="1" applyFill="1" applyBorder="1"/>
    <xf numFmtId="0" fontId="19" fillId="0" borderId="0" xfId="0" applyFont="1" applyAlignment="1">
      <alignment wrapText="1"/>
    </xf>
    <xf numFmtId="0" fontId="11" fillId="9" borderId="7" xfId="0" applyFont="1" applyFill="1" applyBorder="1"/>
    <xf numFmtId="0" fontId="11" fillId="9" borderId="13" xfId="0" applyFont="1" applyFill="1" applyBorder="1"/>
    <xf numFmtId="0" fontId="11" fillId="9" borderId="8" xfId="0" applyFont="1" applyFill="1" applyBorder="1"/>
    <xf numFmtId="0" fontId="19" fillId="0" borderId="9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19" fillId="0" borderId="11" xfId="0" applyFont="1" applyBorder="1" applyAlignment="1">
      <alignment wrapText="1"/>
    </xf>
    <xf numFmtId="0" fontId="19" fillId="0" borderId="14" xfId="0" applyFont="1" applyBorder="1" applyAlignment="1">
      <alignment wrapText="1"/>
    </xf>
    <xf numFmtId="0" fontId="19" fillId="0" borderId="12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 wrapText="1"/>
    </xf>
    <xf numFmtId="0" fontId="21" fillId="10" borderId="0" xfId="0" applyFont="1" applyFill="1" applyAlignment="1">
      <alignment horizontal="center" wrapText="1"/>
    </xf>
    <xf numFmtId="0" fontId="5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vertical="center"/>
    </xf>
    <xf numFmtId="0" fontId="5" fillId="10" borderId="15" xfId="0" applyFont="1" applyFill="1" applyBorder="1" applyAlignment="1">
      <alignment horizontal="left"/>
    </xf>
    <xf numFmtId="0" fontId="5" fillId="10" borderId="15" xfId="0" applyFont="1" applyFill="1" applyBorder="1" applyAlignment="1">
      <alignment horizontal="center" wrapText="1"/>
    </xf>
    <xf numFmtId="0" fontId="20" fillId="0" borderId="0" xfId="0" applyFont="1" applyAlignment="1">
      <alignment horizontal="center"/>
    </xf>
    <xf numFmtId="14" fontId="22" fillId="0" borderId="0" xfId="0" applyNumberFormat="1" applyFont="1"/>
    <xf numFmtId="0" fontId="22" fillId="0" borderId="0" xfId="0" applyFont="1"/>
    <xf numFmtId="164" fontId="22" fillId="0" borderId="0" xfId="0" applyNumberFormat="1" applyFont="1"/>
    <xf numFmtId="0" fontId="22" fillId="0" borderId="0" xfId="0" applyFont="1" applyAlignment="1">
      <alignment horizontal="left"/>
    </xf>
    <xf numFmtId="0" fontId="23" fillId="0" borderId="0" xfId="0" applyFont="1"/>
    <xf numFmtId="0" fontId="2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20" fillId="0" borderId="0" xfId="0" applyFont="1" applyAlignment="1">
      <alignment horizontal="left"/>
    </xf>
  </cellXfs>
  <cellStyles count="1">
    <cellStyle name="Normal" xfId="0" builtinId="0"/>
  </cellStyles>
  <dxfs count="29">
    <dxf>
      <font>
        <b/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u val="none"/>
        <sz val="12"/>
      </font>
    </dxf>
    <dxf>
      <font>
        <u val="none"/>
        <sz val="12"/>
      </font>
    </dxf>
    <dxf>
      <font>
        <u val="none"/>
        <sz val="12"/>
      </font>
    </dxf>
    <dxf>
      <font>
        <u val="none"/>
        <sz val="12"/>
      </font>
    </dxf>
    <dxf>
      <font>
        <u val="none"/>
        <sz val="12"/>
      </font>
    </dxf>
    <dxf>
      <font>
        <u val="none"/>
        <sz val="12"/>
      </font>
    </dxf>
    <dxf>
      <font>
        <u val="none"/>
        <sz val="12"/>
      </font>
    </dxf>
    <dxf>
      <font>
        <u val="none"/>
        <sz val="12"/>
      </font>
    </dxf>
    <dxf>
      <font>
        <u val="none"/>
        <sz val="12"/>
        <color theme="1"/>
        <name val="Calibri"/>
        <family val="2"/>
        <scheme val="none"/>
      </font>
    </dxf>
    <dxf>
      <font>
        <u val="none"/>
        <sz val="12"/>
        <color theme="1"/>
        <name val="Calibri"/>
        <family val="2"/>
        <scheme val="none"/>
      </font>
      <alignment horizontal="left" textRotation="0" wrapText="0" indent="0" justifyLastLine="0" shrinkToFit="0" readingOrder="0"/>
    </dxf>
    <dxf>
      <font>
        <u val="none"/>
        <sz val="12"/>
      </font>
    </dxf>
    <dxf>
      <font>
        <u val="none"/>
        <sz val="12"/>
      </font>
    </dxf>
    <dxf>
      <font>
        <u val="none"/>
        <sz val="12"/>
      </font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en-US" sz="900">
                <a:latin typeface="Arial"/>
                <a:ea typeface="Arial"/>
                <a:cs typeface="Arial"/>
              </a:rPr>
              <a:t>Horas programadas, executadas e pendentes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75B5"/>
            </a:solidFill>
          </c:spPr>
          <c:invertIfNegative val="1"/>
          <c:cat>
            <c:strRef>
              <c:f>Dashboard!$A$10:$A$12</c:f>
              <c:strCache>
                <c:ptCount val="3"/>
                <c:pt idx="0">
                  <c:v>Programadas</c:v>
                </c:pt>
                <c:pt idx="1">
                  <c:v>Executadas</c:v>
                </c:pt>
                <c:pt idx="2">
                  <c:v>Pendentes</c:v>
                </c:pt>
              </c:strCache>
            </c:strRef>
          </c:cat>
          <c:val>
            <c:numRef>
              <c:f>Dashboard!$B$10:$B$12</c:f>
              <c:numCache>
                <c:formatCode>#,##0" h"</c:formatCode>
                <c:ptCount val="3"/>
                <c:pt idx="0">
                  <c:v>840</c:v>
                </c:pt>
                <c:pt idx="1">
                  <c:v>768</c:v>
                </c:pt>
                <c:pt idx="2">
                  <c:v>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2661-4DCB-AB2F-3AAC135F5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&quot; h&quot;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en-US" sz="900">
                <a:latin typeface="Arial"/>
                <a:ea typeface="Arial"/>
                <a:cs typeface="Arial"/>
              </a:rPr>
              <a:t>Horas pendentes por área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Horas pendentes</c:v>
          </c:tx>
          <c:spPr>
            <a:solidFill>
              <a:srgbClr val="D98E04"/>
            </a:solidFill>
          </c:spPr>
          <c:invertIfNegative val="1"/>
          <c:cat>
            <c:strRef>
              <c:f>Dashboard!$A$17:$A$19</c:f>
              <c:strCache>
                <c:ptCount val="3"/>
                <c:pt idx="0">
                  <c:v>EQUIPORT</c:v>
                </c:pt>
                <c:pt idx="1">
                  <c:v>ISIS PÁTIO 01</c:v>
                </c:pt>
                <c:pt idx="2">
                  <c:v>TRANSTEC</c:v>
                </c:pt>
              </c:strCache>
            </c:strRef>
          </c:cat>
          <c:val>
            <c:numRef>
              <c:f>Dashboard!$B$17:$B$19</c:f>
              <c:numCache>
                <c:formatCode>#,##0" h"</c:formatCode>
                <c:ptCount val="3"/>
                <c:pt idx="0">
                  <c:v>40</c:v>
                </c:pt>
                <c:pt idx="1">
                  <c:v>16</c:v>
                </c:pt>
                <c:pt idx="2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1C55-43E0-9632-306E6AF5F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&quot; h&quot;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ontrole" displayName="tblControle" ref="A1:M500">
  <autoFilter ref="A1:M500" xr:uid="{00000000-0009-0000-0100-000001000000}"/>
  <tableColumns count="13">
    <tableColumn id="1" xr3:uid="{00000000-0010-0000-0000-000001000000}" name="Data" dataDxfId="28"/>
    <tableColumn id="2" xr3:uid="{00000000-0010-0000-0000-000002000000}" name="Mês" dataDxfId="27">
      <calculatedColumnFormula>IF(A2="","",PROPER(TEXT(A2,"mmmm")))</calculatedColumnFormula>
    </tableColumn>
    <tableColumn id="3" xr3:uid="{00000000-0010-0000-0000-000003000000}" name="Área" dataDxfId="26"/>
    <tableColumn id="13" xr3:uid="{00000000-0010-0000-0000-00000D000000}" name="Equipamento" dataDxfId="25"/>
    <tableColumn id="14" xr3:uid="{00000000-0010-0000-0000-00000E000000}" name="Relatório necessário?" dataDxfId="24"/>
    <tableColumn id="4" xr3:uid="{00000000-0010-0000-0000-000004000000}" name="Responsável" dataDxfId="23"/>
    <tableColumn id="5" xr3:uid="{00000000-0010-0000-0000-000005000000}" name="Atividade" dataDxfId="22"/>
    <tableColumn id="6" xr3:uid="{00000000-0010-0000-0000-000006000000}" name="Programado" dataDxfId="21"/>
    <tableColumn id="7" xr3:uid="{00000000-0010-0000-0000-000007000000}" name="Executado" dataDxfId="20"/>
    <tableColumn id="8" xr3:uid="{00000000-0010-0000-0000-000008000000}" name="Diferença" dataDxfId="19">
      <calculatedColumnFormula>I2-H2</calculatedColumnFormula>
    </tableColumn>
    <tableColumn id="9" xr3:uid="{00000000-0010-0000-0000-000009000000}" name="% Execução" dataDxfId="18"/>
    <tableColumn id="10" xr3:uid="{00000000-0010-0000-0000-00000A000000}" name="Status" dataDxfId="17"/>
    <tableColumn id="11" xr3:uid="{00000000-0010-0000-0000-00000B000000}" name="Observação" dataDxfId="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>
      <pane ySplit="1" topLeftCell="A90" activePane="bottomLeft" state="frozen"/>
      <selection pane="bottomLeft" activeCell="H115" sqref="H115"/>
    </sheetView>
  </sheetViews>
  <sheetFormatPr defaultRowHeight="15.75" x14ac:dyDescent="0.25"/>
  <cols>
    <col min="1" max="1" width="11.5703125" style="7" customWidth="1"/>
    <col min="2" max="2" width="9.7109375" style="3" customWidth="1"/>
    <col min="3" max="3" width="19.85546875" style="1" customWidth="1"/>
    <col min="4" max="4" width="12.140625" style="1" customWidth="1"/>
    <col min="5" max="5" width="11.42578125" style="3" customWidth="1"/>
    <col min="6" max="6" width="22.28515625" style="3" customWidth="1"/>
    <col min="7" max="7" width="116.28515625" style="3" customWidth="1"/>
    <col min="8" max="8" width="4.7109375" style="3" customWidth="1"/>
    <col min="9" max="9" width="6.42578125" style="3" customWidth="1"/>
    <col min="10" max="10" width="17.7109375" style="3" customWidth="1"/>
    <col min="11" max="11" width="8.5703125" style="3" customWidth="1"/>
    <col min="12" max="12" width="15.28515625" style="3" customWidth="1"/>
    <col min="13" max="13" width="46.42578125" style="3" customWidth="1"/>
    <col min="14" max="14" width="16.140625" style="3" hidden="1" customWidth="1"/>
    <col min="15" max="15" width="39" style="3" customWidth="1"/>
    <col min="16" max="16" width="20" customWidth="1"/>
    <col min="17" max="16384" width="9.140625" style="3"/>
  </cols>
  <sheetData>
    <row r="1" spans="1:16" ht="47.25" x14ac:dyDescent="0.25">
      <c r="A1" s="5" t="s">
        <v>0</v>
      </c>
      <c r="B1" s="6" t="s">
        <v>1</v>
      </c>
      <c r="C1" s="54" t="s">
        <v>2</v>
      </c>
      <c r="D1" s="54" t="s">
        <v>3</v>
      </c>
      <c r="E1" s="52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3" t="s">
        <v>15</v>
      </c>
    </row>
    <row r="2" spans="1:16" x14ac:dyDescent="0.25">
      <c r="A2" s="7">
        <v>46251</v>
      </c>
      <c r="B2" s="7" t="str">
        <f>IF(A2="","",PROPER(TEXT(A2,"mmmm")))</f>
        <v>Agosto</v>
      </c>
      <c r="C2" s="1" t="s">
        <v>16</v>
      </c>
      <c r="E2" s="50" t="str">
        <f>IF(C2="","",IFERROR(VLOOKUP(C2,Clientes!$C$2:$D$1000,2,FALSE),"Não definido"))</f>
        <v>Não</v>
      </c>
      <c r="F2" s="3" t="s">
        <v>17</v>
      </c>
      <c r="G2" s="3" t="s">
        <v>18</v>
      </c>
      <c r="H2" s="3">
        <v>8</v>
      </c>
      <c r="I2" s="3">
        <v>8</v>
      </c>
      <c r="J2" s="3">
        <f t="shared" ref="J2:J65" si="0">I2-H2</f>
        <v>0</v>
      </c>
      <c r="K2" s="8">
        <f t="shared" ref="K2:K64" si="1">IF(H2="","",IFERROR(I2/H2,0))</f>
        <v>1</v>
      </c>
      <c r="L2" s="3" t="str">
        <f>IF(A73="","",IF(OR(I73="",I73=0),"Não executado",IF(K73&gt;=1,"Concluído",IF(K73&gt;=0.8,"Parcial","Não executado"))))</f>
        <v>Concluído</v>
      </c>
      <c r="N2" s="9"/>
      <c r="P2" s="51"/>
    </row>
    <row r="3" spans="1:16" x14ac:dyDescent="0.25">
      <c r="A3" s="7">
        <v>46251</v>
      </c>
      <c r="B3" s="7" t="str">
        <f t="shared" ref="B3:B66" si="2">IF(A3="","",PROPER(TEXT(A3,"mmmm")))</f>
        <v>Agosto</v>
      </c>
      <c r="C3" s="1" t="s">
        <v>19</v>
      </c>
      <c r="E3" s="50" t="str">
        <f>IF(C3="","",IFERROR(VLOOKUP(C3,Clientes!$C$2:$D$1000,2,FALSE),"Não definido"))</f>
        <v>Sim</v>
      </c>
      <c r="F3" s="3" t="s">
        <v>20</v>
      </c>
      <c r="G3" s="3" t="s">
        <v>21</v>
      </c>
      <c r="H3" s="3">
        <v>8</v>
      </c>
      <c r="I3" s="3">
        <v>8</v>
      </c>
      <c r="J3" s="3">
        <f t="shared" si="0"/>
        <v>0</v>
      </c>
      <c r="K3" s="8">
        <f t="shared" si="1"/>
        <v>1</v>
      </c>
      <c r="L3" s="3" t="str">
        <f t="shared" ref="L3:L26" si="3">IF(A3="","",IF(K3&gt;=1,"Concluído",IF(K3&gt;=0.8,"Parcial","Não executado")))</f>
        <v>Concluído</v>
      </c>
      <c r="P3" s="51"/>
    </row>
    <row r="4" spans="1:16" x14ac:dyDescent="0.25">
      <c r="A4" s="7">
        <v>46252</v>
      </c>
      <c r="B4" s="7" t="str">
        <f t="shared" si="2"/>
        <v>Agosto</v>
      </c>
      <c r="C4" s="1" t="s">
        <v>22</v>
      </c>
      <c r="E4" s="50" t="str">
        <f>IF(C4="","",IFERROR(VLOOKUP(C4,Clientes!$C$2:$D$1000,2,FALSE),"Não definido"))</f>
        <v>Sim</v>
      </c>
      <c r="F4" s="3" t="s">
        <v>23</v>
      </c>
      <c r="G4" s="3" t="s">
        <v>24</v>
      </c>
      <c r="H4" s="3">
        <v>8</v>
      </c>
      <c r="I4" s="3">
        <v>8</v>
      </c>
      <c r="J4" s="3">
        <f t="shared" si="0"/>
        <v>0</v>
      </c>
      <c r="K4" s="8">
        <f t="shared" si="1"/>
        <v>1</v>
      </c>
      <c r="L4" s="3" t="str">
        <f t="shared" si="3"/>
        <v>Concluído</v>
      </c>
      <c r="P4" s="51"/>
    </row>
    <row r="5" spans="1:16" x14ac:dyDescent="0.25">
      <c r="A5" s="7">
        <v>46252</v>
      </c>
      <c r="B5" s="7" t="str">
        <f t="shared" si="2"/>
        <v>Agosto</v>
      </c>
      <c r="C5" s="1" t="s">
        <v>25</v>
      </c>
      <c r="E5" s="50" t="str">
        <f>IF(C5="","",IFERROR(VLOOKUP(C5,Clientes!$C$2:$D$1000,2,FALSE),"Não definido"))</f>
        <v>Sim</v>
      </c>
      <c r="F5" s="3" t="s">
        <v>26</v>
      </c>
      <c r="G5" s="3" t="s">
        <v>27</v>
      </c>
      <c r="H5" s="3">
        <v>8</v>
      </c>
      <c r="I5" s="3">
        <v>8</v>
      </c>
      <c r="J5" s="3">
        <f t="shared" si="0"/>
        <v>0</v>
      </c>
      <c r="K5" s="8">
        <f t="shared" si="1"/>
        <v>1</v>
      </c>
      <c r="L5" s="3" t="str">
        <f t="shared" si="3"/>
        <v>Concluído</v>
      </c>
      <c r="P5" s="51"/>
    </row>
    <row r="6" spans="1:16" x14ac:dyDescent="0.25">
      <c r="A6" s="7">
        <v>46252</v>
      </c>
      <c r="B6" s="7" t="str">
        <f t="shared" si="2"/>
        <v>Agosto</v>
      </c>
      <c r="C6" s="1" t="s">
        <v>28</v>
      </c>
      <c r="E6" s="50" t="str">
        <f>IF(C6="","",IFERROR(VLOOKUP(C6,Clientes!$C$2:$D$1000,2,FALSE),"Não definido"))</f>
        <v>Sim</v>
      </c>
      <c r="F6" s="3" t="s">
        <v>29</v>
      </c>
      <c r="G6" s="3" t="s">
        <v>30</v>
      </c>
      <c r="H6" s="3">
        <v>8</v>
      </c>
      <c r="I6" s="3">
        <v>8</v>
      </c>
      <c r="J6" s="3">
        <f t="shared" si="0"/>
        <v>0</v>
      </c>
      <c r="K6" s="8">
        <f t="shared" si="1"/>
        <v>1</v>
      </c>
      <c r="L6" s="3" t="str">
        <f t="shared" si="3"/>
        <v>Concluído</v>
      </c>
      <c r="P6" s="51"/>
    </row>
    <row r="7" spans="1:16" x14ac:dyDescent="0.25">
      <c r="A7" s="7">
        <v>46253</v>
      </c>
      <c r="B7" s="7" t="str">
        <f t="shared" si="2"/>
        <v>Agosto</v>
      </c>
      <c r="C7" s="1" t="s">
        <v>31</v>
      </c>
      <c r="E7" s="50" t="str">
        <f>IF(C7="","",IFERROR(VLOOKUP(C7,Clientes!$C$2:$D$1000,2,FALSE),"Não definido"))</f>
        <v>Sim</v>
      </c>
      <c r="F7" s="3" t="s">
        <v>32</v>
      </c>
      <c r="G7" s="3" t="s">
        <v>33</v>
      </c>
      <c r="H7" s="3">
        <v>8</v>
      </c>
      <c r="I7" s="3">
        <v>8</v>
      </c>
      <c r="J7" s="3">
        <f t="shared" si="0"/>
        <v>0</v>
      </c>
      <c r="K7" s="8">
        <f t="shared" si="1"/>
        <v>1</v>
      </c>
      <c r="L7" s="3" t="str">
        <f t="shared" si="3"/>
        <v>Concluído</v>
      </c>
      <c r="P7" s="51"/>
    </row>
    <row r="8" spans="1:16" x14ac:dyDescent="0.25">
      <c r="A8" s="7">
        <v>46253</v>
      </c>
      <c r="B8" s="7" t="str">
        <f t="shared" si="2"/>
        <v>Agosto</v>
      </c>
      <c r="C8" s="2" t="s">
        <v>34</v>
      </c>
      <c r="D8" s="2"/>
      <c r="E8" s="50" t="str">
        <f>IF(C8="","",IFERROR(VLOOKUP(C8,Clientes!$C$2:$D$1000,2,FALSE),"Não definido"))</f>
        <v>Sim</v>
      </c>
      <c r="F8" s="3" t="s">
        <v>35</v>
      </c>
      <c r="G8" s="3" t="s">
        <v>36</v>
      </c>
      <c r="H8" s="3">
        <v>8</v>
      </c>
      <c r="I8" s="3">
        <v>0</v>
      </c>
      <c r="J8" s="3">
        <f t="shared" si="0"/>
        <v>-8</v>
      </c>
      <c r="K8" s="8">
        <f t="shared" si="1"/>
        <v>0</v>
      </c>
      <c r="L8" s="3" t="str">
        <f t="shared" si="3"/>
        <v>Não executado</v>
      </c>
      <c r="O8" s="10" t="s">
        <v>37</v>
      </c>
      <c r="P8" s="51"/>
    </row>
    <row r="9" spans="1:16" ht="14.25" customHeight="1" x14ac:dyDescent="0.25">
      <c r="A9" s="7">
        <v>46253</v>
      </c>
      <c r="B9" s="7" t="str">
        <f t="shared" si="2"/>
        <v>Agosto</v>
      </c>
      <c r="C9" s="2" t="s">
        <v>38</v>
      </c>
      <c r="D9" s="2"/>
      <c r="E9" s="50" t="str">
        <f>IF(C9="","",IFERROR(VLOOKUP(C9,Clientes!$C$2:$D$1000,2,FALSE),"Não definido"))</f>
        <v>Sim</v>
      </c>
      <c r="F9" s="3" t="s">
        <v>39</v>
      </c>
      <c r="G9" s="11" t="s">
        <v>40</v>
      </c>
      <c r="H9" s="3">
        <v>8</v>
      </c>
      <c r="I9" s="3">
        <v>8</v>
      </c>
      <c r="J9" s="3">
        <f t="shared" si="0"/>
        <v>0</v>
      </c>
      <c r="K9" s="8">
        <f t="shared" si="1"/>
        <v>1</v>
      </c>
      <c r="L9" s="3" t="str">
        <f t="shared" si="3"/>
        <v>Concluído</v>
      </c>
      <c r="P9" s="51"/>
    </row>
    <row r="10" spans="1:16" x14ac:dyDescent="0.25">
      <c r="A10" s="7">
        <v>46253</v>
      </c>
      <c r="B10" s="7" t="str">
        <f t="shared" si="2"/>
        <v>Agosto</v>
      </c>
      <c r="C10" s="1" t="s">
        <v>41</v>
      </c>
      <c r="E10" s="50" t="str">
        <f>IF(C10="","",IFERROR(VLOOKUP(C10,Clientes!$C$2:$D$1000,2,FALSE),"Não definido"))</f>
        <v>Não</v>
      </c>
      <c r="F10" s="3" t="s">
        <v>42</v>
      </c>
      <c r="G10" s="3" t="s">
        <v>43</v>
      </c>
      <c r="H10" s="3">
        <v>8</v>
      </c>
      <c r="I10" s="3">
        <v>0</v>
      </c>
      <c r="J10" s="3">
        <f t="shared" si="0"/>
        <v>-8</v>
      </c>
      <c r="K10" s="8">
        <f t="shared" si="1"/>
        <v>0</v>
      </c>
      <c r="L10" s="3" t="str">
        <f t="shared" si="3"/>
        <v>Não executado</v>
      </c>
      <c r="O10" s="10" t="s">
        <v>44</v>
      </c>
      <c r="P10" s="51"/>
    </row>
    <row r="11" spans="1:16" x14ac:dyDescent="0.25">
      <c r="A11" s="7">
        <v>46253</v>
      </c>
      <c r="B11" s="7" t="str">
        <f t="shared" si="2"/>
        <v>Agosto</v>
      </c>
      <c r="C11" s="1" t="s">
        <v>41</v>
      </c>
      <c r="E11" s="50" t="str">
        <f>IF(C11="","",IFERROR(VLOOKUP(C11,Clientes!$C$2:$D$1000,2,FALSE),"Não definido"))</f>
        <v>Não</v>
      </c>
      <c r="F11" s="3" t="s">
        <v>45</v>
      </c>
      <c r="G11" s="3" t="s">
        <v>46</v>
      </c>
      <c r="H11" s="3">
        <v>8</v>
      </c>
      <c r="I11" s="3">
        <v>8</v>
      </c>
      <c r="J11" s="3">
        <f t="shared" si="0"/>
        <v>0</v>
      </c>
      <c r="K11" s="8">
        <f t="shared" si="1"/>
        <v>1</v>
      </c>
      <c r="L11" s="3" t="str">
        <f t="shared" si="3"/>
        <v>Concluído</v>
      </c>
      <c r="P11" s="51"/>
    </row>
    <row r="12" spans="1:16" ht="13.5" customHeight="1" x14ac:dyDescent="0.25">
      <c r="A12" s="7">
        <v>46253</v>
      </c>
      <c r="B12" s="7" t="str">
        <f t="shared" si="2"/>
        <v>Agosto</v>
      </c>
      <c r="C12" s="1" t="s">
        <v>41</v>
      </c>
      <c r="E12" s="50" t="str">
        <f>IF(C12="","",IFERROR(VLOOKUP(C12,Clientes!$C$2:$D$1000,2,FALSE),"Não definido"))</f>
        <v>Não</v>
      </c>
      <c r="F12" s="3" t="s">
        <v>47</v>
      </c>
      <c r="G12" s="11" t="s">
        <v>48</v>
      </c>
      <c r="H12" s="3">
        <v>8</v>
      </c>
      <c r="I12" s="3">
        <v>8</v>
      </c>
      <c r="J12" s="3">
        <f t="shared" si="0"/>
        <v>0</v>
      </c>
      <c r="K12" s="8">
        <f t="shared" si="1"/>
        <v>1</v>
      </c>
      <c r="L12" s="3" t="str">
        <f t="shared" si="3"/>
        <v>Concluído</v>
      </c>
      <c r="M12" s="11" t="s">
        <v>49</v>
      </c>
      <c r="P12" s="51"/>
    </row>
    <row r="13" spans="1:16" x14ac:dyDescent="0.25">
      <c r="A13" s="7">
        <v>46253</v>
      </c>
      <c r="B13" s="7" t="str">
        <f t="shared" si="2"/>
        <v>Agosto</v>
      </c>
      <c r="C13" s="1" t="s">
        <v>41</v>
      </c>
      <c r="E13" s="50" t="str">
        <f>IF(C13="","",IFERROR(VLOOKUP(C13,Clientes!$C$2:$D$1000,2,FALSE),"Não definido"))</f>
        <v>Não</v>
      </c>
      <c r="F13" s="3" t="s">
        <v>50</v>
      </c>
      <c r="G13" s="3" t="s">
        <v>51</v>
      </c>
      <c r="H13" s="3">
        <v>8</v>
      </c>
      <c r="I13" s="3">
        <v>8</v>
      </c>
      <c r="J13" s="3">
        <f t="shared" si="0"/>
        <v>0</v>
      </c>
      <c r="K13" s="8">
        <f t="shared" si="1"/>
        <v>1</v>
      </c>
      <c r="L13" s="3" t="str">
        <f t="shared" si="3"/>
        <v>Concluído</v>
      </c>
      <c r="P13" s="51"/>
    </row>
    <row r="14" spans="1:16" x14ac:dyDescent="0.25">
      <c r="A14" s="7">
        <v>46254</v>
      </c>
      <c r="B14" s="7" t="str">
        <f t="shared" si="2"/>
        <v>Agosto</v>
      </c>
      <c r="C14" s="1" t="s">
        <v>52</v>
      </c>
      <c r="E14" s="50" t="str">
        <f>IF(C14="","",IFERROR(VLOOKUP(C14,Clientes!$C$2:$D$1000,2,FALSE),"Não definido"))</f>
        <v>Sim</v>
      </c>
      <c r="F14" s="3" t="s">
        <v>53</v>
      </c>
      <c r="G14" s="3" t="s">
        <v>54</v>
      </c>
      <c r="H14" s="3">
        <v>8</v>
      </c>
      <c r="I14" s="3">
        <v>8</v>
      </c>
      <c r="J14" s="3">
        <f t="shared" si="0"/>
        <v>0</v>
      </c>
      <c r="K14" s="8">
        <f t="shared" si="1"/>
        <v>1</v>
      </c>
      <c r="L14" s="3" t="str">
        <f t="shared" si="3"/>
        <v>Concluído</v>
      </c>
      <c r="P14" s="51"/>
    </row>
    <row r="15" spans="1:16" x14ac:dyDescent="0.25">
      <c r="A15" s="7">
        <v>46254</v>
      </c>
      <c r="B15" s="7" t="str">
        <f t="shared" si="2"/>
        <v>Agosto</v>
      </c>
      <c r="C15" s="1" t="s">
        <v>19</v>
      </c>
      <c r="E15" s="50" t="str">
        <f>IF(C15="","",IFERROR(VLOOKUP(C15,Clientes!$C$2:$D$1000,2,FALSE),"Não definido"))</f>
        <v>Sim</v>
      </c>
      <c r="F15" s="3" t="s">
        <v>26</v>
      </c>
      <c r="G15" s="3" t="s">
        <v>55</v>
      </c>
      <c r="H15" s="3">
        <v>8</v>
      </c>
      <c r="I15" s="3">
        <v>8</v>
      </c>
      <c r="J15" s="3">
        <f t="shared" si="0"/>
        <v>0</v>
      </c>
      <c r="K15" s="8">
        <f t="shared" si="1"/>
        <v>1</v>
      </c>
      <c r="L15" s="3" t="str">
        <f t="shared" si="3"/>
        <v>Concluído</v>
      </c>
      <c r="P15" s="51"/>
    </row>
    <row r="16" spans="1:16" x14ac:dyDescent="0.25">
      <c r="A16" s="7">
        <v>46254</v>
      </c>
      <c r="B16" s="7" t="str">
        <f t="shared" si="2"/>
        <v>Agosto</v>
      </c>
      <c r="C16" s="1" t="s">
        <v>16</v>
      </c>
      <c r="E16" s="50" t="str">
        <f>IF(C16="","",IFERROR(VLOOKUP(C16,Clientes!$C$2:$D$1000,2,FALSE),"Não definido"))</f>
        <v>Não</v>
      </c>
      <c r="F16" s="3" t="s">
        <v>56</v>
      </c>
      <c r="G16" s="3" t="s">
        <v>57</v>
      </c>
      <c r="H16" s="3">
        <v>8</v>
      </c>
      <c r="I16" s="3">
        <v>8</v>
      </c>
      <c r="J16" s="3">
        <f t="shared" si="0"/>
        <v>0</v>
      </c>
      <c r="K16" s="8">
        <f t="shared" si="1"/>
        <v>1</v>
      </c>
      <c r="L16" s="3" t="str">
        <f t="shared" si="3"/>
        <v>Concluído</v>
      </c>
      <c r="P16" s="51"/>
    </row>
    <row r="17" spans="1:16" x14ac:dyDescent="0.25">
      <c r="A17" s="7">
        <v>46254</v>
      </c>
      <c r="B17" s="7" t="str">
        <f t="shared" si="2"/>
        <v>Agosto</v>
      </c>
      <c r="C17" s="2" t="s">
        <v>34</v>
      </c>
      <c r="D17" s="2"/>
      <c r="E17" s="50" t="str">
        <f>IF(C17="","",IFERROR(VLOOKUP(C17,Clientes!$C$2:$D$1000,2,FALSE),"Não definido"))</f>
        <v>Sim</v>
      </c>
      <c r="F17" s="3" t="s">
        <v>35</v>
      </c>
      <c r="G17" s="3" t="s">
        <v>36</v>
      </c>
      <c r="H17" s="3">
        <v>8</v>
      </c>
      <c r="I17" s="3">
        <v>8</v>
      </c>
      <c r="J17" s="3">
        <f t="shared" si="0"/>
        <v>0</v>
      </c>
      <c r="K17" s="8">
        <f t="shared" si="1"/>
        <v>1</v>
      </c>
      <c r="L17" s="3" t="str">
        <f t="shared" si="3"/>
        <v>Concluído</v>
      </c>
      <c r="N17" s="7">
        <v>46255</v>
      </c>
      <c r="P17" s="51"/>
    </row>
    <row r="18" spans="1:16" x14ac:dyDescent="0.25">
      <c r="A18" s="7">
        <v>46254</v>
      </c>
      <c r="B18" s="7" t="str">
        <f t="shared" si="2"/>
        <v>Agosto</v>
      </c>
      <c r="C18" s="1" t="s">
        <v>41</v>
      </c>
      <c r="E18" s="50" t="str">
        <f>IF(C18="","",IFERROR(VLOOKUP(C18,Clientes!$C$2:$D$1000,2,FALSE),"Não definido"))</f>
        <v>Não</v>
      </c>
      <c r="F18" s="11" t="s">
        <v>58</v>
      </c>
      <c r="G18" s="3" t="s">
        <v>59</v>
      </c>
      <c r="H18" s="3">
        <v>8</v>
      </c>
      <c r="I18" s="3">
        <v>8</v>
      </c>
      <c r="J18" s="3">
        <f t="shared" si="0"/>
        <v>0</v>
      </c>
      <c r="K18" s="8">
        <f t="shared" si="1"/>
        <v>1</v>
      </c>
      <c r="L18" s="3" t="str">
        <f t="shared" si="3"/>
        <v>Concluído</v>
      </c>
      <c r="P18" s="51"/>
    </row>
    <row r="19" spans="1:16" x14ac:dyDescent="0.25">
      <c r="A19" s="7">
        <v>46254</v>
      </c>
      <c r="B19" s="7" t="str">
        <f t="shared" si="2"/>
        <v>Agosto</v>
      </c>
      <c r="C19" s="1" t="s">
        <v>41</v>
      </c>
      <c r="E19" s="50" t="str">
        <f>IF(C19="","",IFERROR(VLOOKUP(C19,Clientes!$C$2:$D$1000,2,FALSE),"Não definido"))</f>
        <v>Não</v>
      </c>
      <c r="F19" s="3" t="s">
        <v>50</v>
      </c>
      <c r="G19" s="3" t="s">
        <v>51</v>
      </c>
      <c r="H19" s="3">
        <v>8</v>
      </c>
      <c r="I19" s="3">
        <v>8</v>
      </c>
      <c r="J19" s="3">
        <f t="shared" si="0"/>
        <v>0</v>
      </c>
      <c r="K19" s="8">
        <f t="shared" si="1"/>
        <v>1</v>
      </c>
      <c r="L19" s="3" t="str">
        <f t="shared" si="3"/>
        <v>Concluído</v>
      </c>
      <c r="P19" s="51"/>
    </row>
    <row r="20" spans="1:16" x14ac:dyDescent="0.25">
      <c r="A20" s="7">
        <v>46255</v>
      </c>
      <c r="B20" s="7" t="str">
        <f t="shared" si="2"/>
        <v>Agosto</v>
      </c>
      <c r="C20" s="2" t="s">
        <v>34</v>
      </c>
      <c r="D20" s="2"/>
      <c r="E20" s="50" t="str">
        <f>IF(C20="","",IFERROR(VLOOKUP(C20,Clientes!$C$2:$D$1000,2,FALSE),"Não definido"))</f>
        <v>Sim</v>
      </c>
      <c r="F20" s="3" t="s">
        <v>35</v>
      </c>
      <c r="G20" s="3" t="s">
        <v>36</v>
      </c>
      <c r="H20" s="3">
        <v>8</v>
      </c>
      <c r="I20" s="3">
        <v>8</v>
      </c>
      <c r="J20" s="3">
        <f t="shared" si="0"/>
        <v>0</v>
      </c>
      <c r="K20" s="8">
        <f t="shared" si="1"/>
        <v>1</v>
      </c>
      <c r="L20" s="3" t="str">
        <f t="shared" si="3"/>
        <v>Concluído</v>
      </c>
      <c r="P20" s="51"/>
    </row>
    <row r="21" spans="1:16" x14ac:dyDescent="0.25">
      <c r="A21" s="7">
        <v>46255</v>
      </c>
      <c r="B21" s="7" t="str">
        <f t="shared" si="2"/>
        <v>Agosto</v>
      </c>
      <c r="C21" s="1" t="s">
        <v>19</v>
      </c>
      <c r="E21" s="50" t="str">
        <f>IF(C21="","",IFERROR(VLOOKUP(C21,Clientes!$C$2:$D$1000,2,FALSE),"Não definido"))</f>
        <v>Sim</v>
      </c>
      <c r="F21" s="3" t="s">
        <v>26</v>
      </c>
      <c r="G21" s="3" t="s">
        <v>60</v>
      </c>
      <c r="H21" s="3">
        <v>8</v>
      </c>
      <c r="I21" s="3">
        <v>8</v>
      </c>
      <c r="J21" s="3">
        <f t="shared" si="0"/>
        <v>0</v>
      </c>
      <c r="K21" s="8">
        <f t="shared" si="1"/>
        <v>1</v>
      </c>
      <c r="L21" s="3" t="str">
        <f t="shared" si="3"/>
        <v>Concluído</v>
      </c>
      <c r="P21" s="51"/>
    </row>
    <row r="22" spans="1:16" x14ac:dyDescent="0.25">
      <c r="A22" s="7">
        <v>46255</v>
      </c>
      <c r="B22" s="7" t="str">
        <f t="shared" si="2"/>
        <v>Agosto</v>
      </c>
      <c r="C22" s="1" t="s">
        <v>16</v>
      </c>
      <c r="E22" s="50" t="str">
        <f>IF(C22="","",IFERROR(VLOOKUP(C22,Clientes!$C$2:$D$1000,2,FALSE),"Não definido"))</f>
        <v>Não</v>
      </c>
      <c r="F22" s="3" t="s">
        <v>56</v>
      </c>
      <c r="G22" s="3" t="s">
        <v>61</v>
      </c>
      <c r="H22" s="3">
        <v>8</v>
      </c>
      <c r="I22" s="3">
        <v>8</v>
      </c>
      <c r="J22" s="3">
        <f t="shared" si="0"/>
        <v>0</v>
      </c>
      <c r="K22" s="8">
        <f t="shared" si="1"/>
        <v>1</v>
      </c>
      <c r="L22" s="3" t="str">
        <f t="shared" si="3"/>
        <v>Concluído</v>
      </c>
      <c r="P22" s="51"/>
    </row>
    <row r="23" spans="1:16" x14ac:dyDescent="0.25">
      <c r="A23" s="7">
        <v>46255</v>
      </c>
      <c r="B23" s="7" t="str">
        <f t="shared" si="2"/>
        <v>Agosto</v>
      </c>
      <c r="C23" s="1" t="s">
        <v>41</v>
      </c>
      <c r="E23" s="50" t="str">
        <f>IF(C23="","",IFERROR(VLOOKUP(C23,Clientes!$C$2:$D$1000,2,FALSE),"Não definido"))</f>
        <v>Não</v>
      </c>
      <c r="F23" s="3" t="s">
        <v>39</v>
      </c>
      <c r="G23" s="3" t="s">
        <v>62</v>
      </c>
      <c r="H23" s="3">
        <v>8</v>
      </c>
      <c r="I23" s="3">
        <v>8</v>
      </c>
      <c r="J23" s="3">
        <f t="shared" si="0"/>
        <v>0</v>
      </c>
      <c r="K23" s="8">
        <f t="shared" si="1"/>
        <v>1</v>
      </c>
      <c r="L23" s="3" t="str">
        <f t="shared" si="3"/>
        <v>Concluído</v>
      </c>
      <c r="O23" s="12" t="s">
        <v>63</v>
      </c>
      <c r="P23" s="51"/>
    </row>
    <row r="24" spans="1:16" x14ac:dyDescent="0.25">
      <c r="A24" s="7">
        <v>46255</v>
      </c>
      <c r="B24" s="7" t="str">
        <f t="shared" si="2"/>
        <v>Agosto</v>
      </c>
      <c r="C24" s="1" t="s">
        <v>41</v>
      </c>
      <c r="E24" s="50" t="str">
        <f>IF(C24="","",IFERROR(VLOOKUP(C24,Clientes!$C$2:$D$1000,2,FALSE),"Não definido"))</f>
        <v>Não</v>
      </c>
      <c r="F24" s="3" t="s">
        <v>64</v>
      </c>
      <c r="G24" s="3" t="s">
        <v>65</v>
      </c>
      <c r="H24" s="3">
        <v>8</v>
      </c>
      <c r="I24" s="3">
        <v>8</v>
      </c>
      <c r="J24" s="3">
        <f t="shared" si="0"/>
        <v>0</v>
      </c>
      <c r="K24" s="8">
        <f t="shared" si="1"/>
        <v>1</v>
      </c>
      <c r="L24" s="3" t="str">
        <f t="shared" si="3"/>
        <v>Concluído</v>
      </c>
      <c r="P24" s="51"/>
    </row>
    <row r="25" spans="1:16" x14ac:dyDescent="0.25">
      <c r="A25" s="7">
        <v>46255</v>
      </c>
      <c r="B25" s="7" t="str">
        <f t="shared" si="2"/>
        <v>Agosto</v>
      </c>
      <c r="C25" s="1" t="s">
        <v>41</v>
      </c>
      <c r="E25" s="50" t="str">
        <f>IF(C25="","",IFERROR(VLOOKUP(C25,Clientes!$C$2:$D$1000,2,FALSE),"Não definido"))</f>
        <v>Não</v>
      </c>
      <c r="F25" s="3" t="s">
        <v>66</v>
      </c>
      <c r="G25" s="3" t="s">
        <v>67</v>
      </c>
      <c r="H25" s="3">
        <v>8</v>
      </c>
      <c r="I25" s="3">
        <v>0</v>
      </c>
      <c r="J25" s="3">
        <f t="shared" si="0"/>
        <v>-8</v>
      </c>
      <c r="K25" s="8">
        <f t="shared" si="1"/>
        <v>0</v>
      </c>
      <c r="L25" s="3" t="str">
        <f t="shared" si="3"/>
        <v>Não executado</v>
      </c>
      <c r="M25" s="3" t="s">
        <v>68</v>
      </c>
      <c r="O25" s="12" t="s">
        <v>69</v>
      </c>
      <c r="P25" s="51"/>
    </row>
    <row r="26" spans="1:16" x14ac:dyDescent="0.25">
      <c r="A26" s="7">
        <v>46255</v>
      </c>
      <c r="B26" s="7" t="str">
        <f t="shared" si="2"/>
        <v>Agosto</v>
      </c>
      <c r="C26" s="1" t="s">
        <v>41</v>
      </c>
      <c r="E26" s="50" t="str">
        <f>IF(C26="","",IFERROR(VLOOKUP(C26,Clientes!$C$2:$D$1000,2,FALSE),"Não definido"))</f>
        <v>Não</v>
      </c>
      <c r="F26" s="3" t="s">
        <v>53</v>
      </c>
      <c r="G26" s="3" t="s">
        <v>70</v>
      </c>
      <c r="H26" s="3">
        <v>8</v>
      </c>
      <c r="I26" s="3">
        <v>8</v>
      </c>
      <c r="J26" s="3">
        <f t="shared" si="0"/>
        <v>0</v>
      </c>
      <c r="K26" s="8">
        <f t="shared" si="1"/>
        <v>1</v>
      </c>
      <c r="L26" s="3" t="str">
        <f t="shared" si="3"/>
        <v>Concluído</v>
      </c>
      <c r="P26" s="51"/>
    </row>
    <row r="27" spans="1:16" x14ac:dyDescent="0.25">
      <c r="A27" s="7">
        <v>46256</v>
      </c>
      <c r="B27" s="7" t="str">
        <f t="shared" si="2"/>
        <v>Agosto</v>
      </c>
      <c r="C27" s="2" t="s">
        <v>34</v>
      </c>
      <c r="D27" s="2"/>
      <c r="E27" s="50" t="str">
        <f>IF(C27="","",IFERROR(VLOOKUP(C27,Clientes!$C$2:$D$1000,2,FALSE),"Não definido"))</f>
        <v>Sim</v>
      </c>
      <c r="F27" s="3" t="s">
        <v>35</v>
      </c>
      <c r="G27" s="3" t="s">
        <v>36</v>
      </c>
      <c r="H27" s="3">
        <v>8</v>
      </c>
      <c r="I27" s="3">
        <v>8</v>
      </c>
      <c r="J27" s="3">
        <f t="shared" si="0"/>
        <v>0</v>
      </c>
      <c r="K27" s="8">
        <f t="shared" si="1"/>
        <v>1</v>
      </c>
      <c r="L27" s="3" t="str">
        <f>IF(A27="","",IF(K27&gt;=1,"Concluído",IF(K27&gt;=0.8,"Parcial","Atrasado")))</f>
        <v>Concluído</v>
      </c>
      <c r="P27" s="51"/>
    </row>
    <row r="28" spans="1:16" x14ac:dyDescent="0.25">
      <c r="A28" s="7">
        <v>46256</v>
      </c>
      <c r="B28" s="7" t="str">
        <f t="shared" si="2"/>
        <v>Agosto</v>
      </c>
      <c r="C28" s="1" t="s">
        <v>71</v>
      </c>
      <c r="E28" s="50" t="str">
        <f>IF(C28="","",IFERROR(VLOOKUP(C28,Clientes!$C$2:$D$1000,2,FALSE),"Não definido"))</f>
        <v>Não</v>
      </c>
      <c r="F28" s="3" t="s">
        <v>26</v>
      </c>
      <c r="G28" s="3" t="s">
        <v>72</v>
      </c>
      <c r="H28" s="3">
        <v>8</v>
      </c>
      <c r="I28" s="3">
        <v>8</v>
      </c>
      <c r="J28" s="3">
        <f t="shared" si="0"/>
        <v>0</v>
      </c>
      <c r="K28" s="8">
        <f t="shared" si="1"/>
        <v>1</v>
      </c>
      <c r="L28" s="3" t="str">
        <f>IF(A28="","",IF(K28&gt;=1,"Concluído",IF(K28&gt;=0.8,"Parcial","Atrasado")))</f>
        <v>Concluído</v>
      </c>
      <c r="P28" s="51"/>
    </row>
    <row r="29" spans="1:16" x14ac:dyDescent="0.25">
      <c r="A29" s="7">
        <v>46257</v>
      </c>
      <c r="B29" s="7" t="str">
        <f t="shared" si="2"/>
        <v>Agosto</v>
      </c>
      <c r="C29" s="1" t="s">
        <v>73</v>
      </c>
      <c r="E29" s="50" t="str">
        <f>IF(C29="","",IFERROR(VLOOKUP(C29,Clientes!$C$2:$D$1000,2,FALSE),"Não definido"))</f>
        <v>Sim</v>
      </c>
      <c r="F29" s="3" t="s">
        <v>35</v>
      </c>
      <c r="G29" s="3" t="s">
        <v>74</v>
      </c>
      <c r="H29" s="3">
        <v>8</v>
      </c>
      <c r="I29" s="3">
        <v>8</v>
      </c>
      <c r="J29" s="3">
        <f t="shared" si="0"/>
        <v>0</v>
      </c>
      <c r="K29" s="8">
        <f t="shared" si="1"/>
        <v>1</v>
      </c>
      <c r="L29" s="3" t="str">
        <f>IF(A29="","",IF(K29&gt;=1,"Concluído",IF(K29&gt;=0.8,"Parcial","Atrasado")))</f>
        <v>Concluído</v>
      </c>
      <c r="P29" s="51"/>
    </row>
    <row r="30" spans="1:16" x14ac:dyDescent="0.25">
      <c r="A30" s="7">
        <v>46258</v>
      </c>
      <c r="B30" s="7" t="str">
        <f t="shared" si="2"/>
        <v>Agosto</v>
      </c>
      <c r="C30" s="2" t="s">
        <v>34</v>
      </c>
      <c r="D30" s="2"/>
      <c r="E30" s="50" t="str">
        <f>IF(C30="","",IFERROR(VLOOKUP(C30,Clientes!$C$2:$D$1000,2,FALSE),"Não definido"))</f>
        <v>Sim</v>
      </c>
      <c r="F30" s="3" t="s">
        <v>35</v>
      </c>
      <c r="G30" s="3" t="s">
        <v>36</v>
      </c>
      <c r="H30" s="3">
        <v>8</v>
      </c>
      <c r="I30" s="3">
        <v>0</v>
      </c>
      <c r="J30" s="3">
        <f t="shared" si="0"/>
        <v>-8</v>
      </c>
      <c r="K30" s="8">
        <f t="shared" si="1"/>
        <v>0</v>
      </c>
      <c r="L30" s="3" t="str">
        <f t="shared" ref="L30:L93" si="4">IF(A30="","",IF(K30&gt;=1,"Concluído",IF(K30&gt;=0.8,"Parcial","Não executado")))</f>
        <v>Não executado</v>
      </c>
      <c r="O30" s="10" t="s">
        <v>75</v>
      </c>
      <c r="P30" s="51"/>
    </row>
    <row r="31" spans="1:16" ht="31.5" x14ac:dyDescent="0.25">
      <c r="A31" s="7">
        <v>46258</v>
      </c>
      <c r="B31" s="7" t="str">
        <f t="shared" si="2"/>
        <v>Agosto</v>
      </c>
      <c r="C31" s="1" t="s">
        <v>41</v>
      </c>
      <c r="E31" s="50" t="str">
        <f>IF(C31="","",IFERROR(VLOOKUP(C31,Clientes!$C$2:$D$1000,2,FALSE),"Não definido"))</f>
        <v>Não</v>
      </c>
      <c r="F31" s="3" t="s">
        <v>76</v>
      </c>
      <c r="G31" s="11" t="s">
        <v>77</v>
      </c>
      <c r="H31" s="3">
        <v>8</v>
      </c>
      <c r="I31" s="3">
        <v>0</v>
      </c>
      <c r="J31" s="3">
        <f t="shared" si="0"/>
        <v>-8</v>
      </c>
      <c r="K31" s="8">
        <f t="shared" si="1"/>
        <v>0</v>
      </c>
      <c r="L31" s="3" t="str">
        <f t="shared" si="4"/>
        <v>Não executado</v>
      </c>
      <c r="O31" s="3" t="s">
        <v>78</v>
      </c>
      <c r="P31" s="51"/>
    </row>
    <row r="32" spans="1:16" x14ac:dyDescent="0.25">
      <c r="A32" s="7">
        <v>46258</v>
      </c>
      <c r="B32" s="7" t="str">
        <f t="shared" si="2"/>
        <v>Agosto</v>
      </c>
      <c r="C32" s="1" t="s">
        <v>41</v>
      </c>
      <c r="E32" s="50" t="str">
        <f>IF(C32="","",IFERROR(VLOOKUP(C32,Clientes!$C$2:$D$1000,2,FALSE),"Não definido"))</f>
        <v>Não</v>
      </c>
      <c r="F32" s="3" t="s">
        <v>79</v>
      </c>
      <c r="G32" s="3" t="s">
        <v>80</v>
      </c>
      <c r="H32" s="3">
        <v>8</v>
      </c>
      <c r="I32" s="3">
        <v>8</v>
      </c>
      <c r="J32" s="3">
        <f t="shared" si="0"/>
        <v>0</v>
      </c>
      <c r="K32" s="8">
        <f t="shared" si="1"/>
        <v>1</v>
      </c>
      <c r="L32" s="3" t="str">
        <f t="shared" si="4"/>
        <v>Concluído</v>
      </c>
      <c r="P32" s="51"/>
    </row>
    <row r="33" spans="1:16" x14ac:dyDescent="0.25">
      <c r="A33" s="7">
        <v>46258</v>
      </c>
      <c r="B33" s="7" t="str">
        <f t="shared" si="2"/>
        <v>Agosto</v>
      </c>
      <c r="C33" s="1" t="s">
        <v>41</v>
      </c>
      <c r="E33" s="50" t="str">
        <f>IF(C33="","",IFERROR(VLOOKUP(C33,Clientes!$C$2:$D$1000,2,FALSE),"Não definido"))</f>
        <v>Não</v>
      </c>
      <c r="F33" s="3" t="s">
        <v>39</v>
      </c>
      <c r="G33" s="3" t="s">
        <v>81</v>
      </c>
      <c r="H33" s="3">
        <v>8</v>
      </c>
      <c r="I33" s="3">
        <v>8</v>
      </c>
      <c r="J33" s="3">
        <f t="shared" si="0"/>
        <v>0</v>
      </c>
      <c r="K33" s="8">
        <f t="shared" si="1"/>
        <v>1</v>
      </c>
      <c r="L33" s="3" t="str">
        <f t="shared" si="4"/>
        <v>Concluído</v>
      </c>
      <c r="P33" s="51"/>
    </row>
    <row r="34" spans="1:16" x14ac:dyDescent="0.25">
      <c r="A34" s="7">
        <v>46259</v>
      </c>
      <c r="B34" s="7" t="str">
        <f t="shared" si="2"/>
        <v>Agosto</v>
      </c>
      <c r="C34" s="1" t="s">
        <v>82</v>
      </c>
      <c r="E34" s="50" t="str">
        <f>IF(C34="","",IFERROR(VLOOKUP(C34,Clientes!$C$2:$D$1000,2,FALSE),"Não definido"))</f>
        <v>Não</v>
      </c>
      <c r="F34" s="3" t="s">
        <v>83</v>
      </c>
      <c r="G34" s="3" t="s">
        <v>84</v>
      </c>
      <c r="H34" s="3">
        <v>8</v>
      </c>
      <c r="I34" s="3">
        <v>8</v>
      </c>
      <c r="J34" s="3">
        <f t="shared" si="0"/>
        <v>0</v>
      </c>
      <c r="K34" s="8">
        <f t="shared" si="1"/>
        <v>1</v>
      </c>
      <c r="L34" s="3" t="str">
        <f t="shared" si="4"/>
        <v>Concluído</v>
      </c>
      <c r="P34" s="51"/>
    </row>
    <row r="35" spans="1:16" x14ac:dyDescent="0.25">
      <c r="A35" s="7">
        <v>46259</v>
      </c>
      <c r="B35" s="7" t="str">
        <f t="shared" si="2"/>
        <v>Agosto</v>
      </c>
      <c r="C35" s="2" t="s">
        <v>85</v>
      </c>
      <c r="D35" s="2"/>
      <c r="E35" s="50" t="str">
        <f>IF(C35="","",IFERROR(VLOOKUP(C35,Clientes!$C$2:$D$1000,2,FALSE),"Não definido"))</f>
        <v>Sim</v>
      </c>
      <c r="F35" s="3" t="s">
        <v>86</v>
      </c>
      <c r="G35" s="3" t="s">
        <v>87</v>
      </c>
      <c r="H35" s="3">
        <v>8</v>
      </c>
      <c r="I35" s="3">
        <v>8</v>
      </c>
      <c r="J35" s="3">
        <f t="shared" si="0"/>
        <v>0</v>
      </c>
      <c r="K35" s="8">
        <f t="shared" si="1"/>
        <v>1</v>
      </c>
      <c r="L35" s="3" t="str">
        <f t="shared" si="4"/>
        <v>Concluído</v>
      </c>
      <c r="P35" s="51"/>
    </row>
    <row r="36" spans="1:16" x14ac:dyDescent="0.25">
      <c r="A36" s="7">
        <v>46259</v>
      </c>
      <c r="B36" s="7" t="str">
        <f t="shared" si="2"/>
        <v>Agosto</v>
      </c>
      <c r="C36" s="2" t="s">
        <v>88</v>
      </c>
      <c r="D36" s="2"/>
      <c r="E36" s="50" t="str">
        <f>IF(C36="","",IFERROR(VLOOKUP(C36,Clientes!$C$2:$D$1000,2,FALSE),"Não definido"))</f>
        <v>Sim</v>
      </c>
      <c r="F36" s="3" t="s">
        <v>39</v>
      </c>
      <c r="G36" s="3" t="s">
        <v>89</v>
      </c>
      <c r="H36" s="3">
        <v>8</v>
      </c>
      <c r="I36" s="3">
        <v>8</v>
      </c>
      <c r="J36" s="3">
        <f t="shared" si="0"/>
        <v>0</v>
      </c>
      <c r="K36" s="8">
        <f t="shared" si="1"/>
        <v>1</v>
      </c>
      <c r="L36" s="3" t="str">
        <f t="shared" si="4"/>
        <v>Concluído</v>
      </c>
      <c r="P36" s="51"/>
    </row>
    <row r="37" spans="1:16" x14ac:dyDescent="0.25">
      <c r="A37" s="7">
        <v>46259</v>
      </c>
      <c r="B37" s="7" t="str">
        <f t="shared" si="2"/>
        <v>Agosto</v>
      </c>
      <c r="C37" s="56" t="s">
        <v>31</v>
      </c>
      <c r="D37" s="2"/>
      <c r="E37" s="50" t="str">
        <f>IF(C37="","",IFERROR(VLOOKUP(C37,Clientes!$C$2:$D$1000,2,FALSE),"Não definido"))</f>
        <v>Sim</v>
      </c>
      <c r="F37" s="3" t="s">
        <v>90</v>
      </c>
      <c r="G37" s="3" t="s">
        <v>91</v>
      </c>
      <c r="H37" s="3">
        <v>8</v>
      </c>
      <c r="I37" s="3">
        <v>8</v>
      </c>
      <c r="J37" s="3">
        <f t="shared" si="0"/>
        <v>0</v>
      </c>
      <c r="K37" s="8">
        <f t="shared" si="1"/>
        <v>1</v>
      </c>
      <c r="L37" s="3" t="str">
        <f t="shared" si="4"/>
        <v>Concluído</v>
      </c>
      <c r="P37" s="51"/>
    </row>
    <row r="38" spans="1:16" x14ac:dyDescent="0.25">
      <c r="A38" s="7">
        <v>46259</v>
      </c>
      <c r="B38" s="7" t="str">
        <f t="shared" si="2"/>
        <v>Agosto</v>
      </c>
      <c r="C38" s="1" t="s">
        <v>19</v>
      </c>
      <c r="E38" s="50" t="str">
        <f>IF(C38="","",IFERROR(VLOOKUP(C38,Clientes!$C$2:$D$1000,2,FALSE),"Não definido"))</f>
        <v>Sim</v>
      </c>
      <c r="F38" s="3" t="s">
        <v>32</v>
      </c>
      <c r="G38" s="3" t="s">
        <v>92</v>
      </c>
      <c r="H38" s="3">
        <v>4</v>
      </c>
      <c r="I38" s="3">
        <v>4</v>
      </c>
      <c r="J38" s="3">
        <f t="shared" si="0"/>
        <v>0</v>
      </c>
      <c r="K38" s="8">
        <f t="shared" si="1"/>
        <v>1</v>
      </c>
      <c r="L38" s="3" t="str">
        <f t="shared" si="4"/>
        <v>Concluído</v>
      </c>
      <c r="P38" s="51"/>
    </row>
    <row r="39" spans="1:16" x14ac:dyDescent="0.25">
      <c r="A39" s="7">
        <v>46259</v>
      </c>
      <c r="B39" s="7" t="str">
        <f t="shared" si="2"/>
        <v>Agosto</v>
      </c>
      <c r="C39" s="1" t="s">
        <v>22</v>
      </c>
      <c r="E39" s="50" t="str">
        <f>IF(C39="","",IFERROR(VLOOKUP(C39,Clientes!$C$2:$D$1000,2,FALSE),"Não definido"))</f>
        <v>Sim</v>
      </c>
      <c r="F39" s="3" t="s">
        <v>32</v>
      </c>
      <c r="G39" s="3" t="s">
        <v>93</v>
      </c>
      <c r="H39" s="3">
        <v>4</v>
      </c>
      <c r="I39" s="3">
        <v>4</v>
      </c>
      <c r="J39" s="3">
        <f t="shared" si="0"/>
        <v>0</v>
      </c>
      <c r="K39" s="8">
        <f t="shared" si="1"/>
        <v>1</v>
      </c>
      <c r="L39" s="3" t="str">
        <f t="shared" si="4"/>
        <v>Concluído</v>
      </c>
      <c r="P39" s="51"/>
    </row>
    <row r="40" spans="1:16" x14ac:dyDescent="0.25">
      <c r="A40" s="7">
        <v>46259</v>
      </c>
      <c r="B40" s="7" t="str">
        <f t="shared" si="2"/>
        <v>Agosto</v>
      </c>
      <c r="C40" s="1" t="s">
        <v>41</v>
      </c>
      <c r="E40" s="50" t="str">
        <f>IF(C40="","",IFERROR(VLOOKUP(C40,Clientes!$C$2:$D$1000,2,FALSE),"Não definido"))</f>
        <v>Não</v>
      </c>
      <c r="F40" s="3" t="s">
        <v>94</v>
      </c>
      <c r="G40" s="3" t="s">
        <v>95</v>
      </c>
      <c r="H40" s="3">
        <v>8</v>
      </c>
      <c r="I40" s="3">
        <v>8</v>
      </c>
      <c r="J40" s="3">
        <f t="shared" si="0"/>
        <v>0</v>
      </c>
      <c r="K40" s="8">
        <f t="shared" si="1"/>
        <v>1</v>
      </c>
      <c r="L40" s="3" t="str">
        <f t="shared" si="4"/>
        <v>Concluído</v>
      </c>
      <c r="P40" s="51"/>
    </row>
    <row r="41" spans="1:16" x14ac:dyDescent="0.25">
      <c r="A41" s="7">
        <v>46259</v>
      </c>
      <c r="B41" s="7" t="str">
        <f t="shared" si="2"/>
        <v>Agosto</v>
      </c>
      <c r="C41" s="1" t="s">
        <v>41</v>
      </c>
      <c r="E41" s="50" t="str">
        <f>IF(C41="","",IFERROR(VLOOKUP(C41,Clientes!$C$2:$D$1000,2,FALSE),"Não definido"))</f>
        <v>Não</v>
      </c>
      <c r="F41" s="3" t="s">
        <v>96</v>
      </c>
      <c r="G41" s="3" t="s">
        <v>97</v>
      </c>
      <c r="H41" s="3">
        <v>8</v>
      </c>
      <c r="I41" s="3">
        <v>8</v>
      </c>
      <c r="J41" s="3">
        <f t="shared" si="0"/>
        <v>0</v>
      </c>
      <c r="K41" s="8">
        <f t="shared" si="1"/>
        <v>1</v>
      </c>
      <c r="L41" s="3" t="str">
        <f t="shared" si="4"/>
        <v>Concluído</v>
      </c>
      <c r="P41" s="51"/>
    </row>
    <row r="42" spans="1:16" x14ac:dyDescent="0.25">
      <c r="A42" s="7">
        <v>46260</v>
      </c>
      <c r="B42" s="7" t="str">
        <f t="shared" si="2"/>
        <v>Agosto</v>
      </c>
      <c r="C42" s="2" t="s">
        <v>85</v>
      </c>
      <c r="D42" s="2"/>
      <c r="E42" s="50" t="str">
        <f>IF(C42="","",IFERROR(VLOOKUP(C42,Clientes!$C$2:$D$1000,2,FALSE),"Não definido"))</f>
        <v>Sim</v>
      </c>
      <c r="F42" s="3" t="s">
        <v>86</v>
      </c>
      <c r="G42" s="3" t="s">
        <v>87</v>
      </c>
      <c r="H42" s="3">
        <v>8</v>
      </c>
      <c r="I42" s="3">
        <v>8</v>
      </c>
      <c r="J42" s="3">
        <f t="shared" si="0"/>
        <v>0</v>
      </c>
      <c r="K42" s="8">
        <f t="shared" si="1"/>
        <v>1</v>
      </c>
      <c r="L42" s="3" t="str">
        <f t="shared" si="4"/>
        <v>Concluído</v>
      </c>
      <c r="P42" s="51"/>
    </row>
    <row r="43" spans="1:16" x14ac:dyDescent="0.25">
      <c r="A43" s="7">
        <v>46260</v>
      </c>
      <c r="B43" s="7" t="str">
        <f t="shared" si="2"/>
        <v>Agosto</v>
      </c>
      <c r="C43" s="1" t="s">
        <v>98</v>
      </c>
      <c r="E43" s="50" t="str">
        <f>IF(C43="","",IFERROR(VLOOKUP(C43,Clientes!$C$2:$D$1000,2,FALSE),"Não definido"))</f>
        <v>Sim</v>
      </c>
      <c r="F43" s="3" t="s">
        <v>20</v>
      </c>
      <c r="G43" s="3" t="s">
        <v>99</v>
      </c>
      <c r="H43" s="3">
        <v>8</v>
      </c>
      <c r="I43" s="3">
        <v>8</v>
      </c>
      <c r="J43" s="3">
        <f t="shared" si="0"/>
        <v>0</v>
      </c>
      <c r="K43" s="8">
        <f t="shared" si="1"/>
        <v>1</v>
      </c>
      <c r="L43" s="3" t="str">
        <f t="shared" si="4"/>
        <v>Concluído</v>
      </c>
      <c r="P43" s="51"/>
    </row>
    <row r="44" spans="1:16" x14ac:dyDescent="0.25">
      <c r="A44" s="7">
        <v>46260</v>
      </c>
      <c r="B44" s="7" t="str">
        <f t="shared" si="2"/>
        <v>Agosto</v>
      </c>
      <c r="C44" s="1" t="s">
        <v>41</v>
      </c>
      <c r="E44" s="50" t="str">
        <f>IF(C44="","",IFERROR(VLOOKUP(C44,Clientes!$C$2:$D$1000,2,FALSE),"Não definido"))</f>
        <v>Não</v>
      </c>
      <c r="F44" s="3" t="s">
        <v>100</v>
      </c>
      <c r="G44" s="3" t="s">
        <v>101</v>
      </c>
      <c r="H44" s="3">
        <v>8</v>
      </c>
      <c r="I44" s="3">
        <v>8</v>
      </c>
      <c r="J44" s="3">
        <f t="shared" si="0"/>
        <v>0</v>
      </c>
      <c r="K44" s="8">
        <f t="shared" si="1"/>
        <v>1</v>
      </c>
      <c r="L44" s="3" t="str">
        <f t="shared" si="4"/>
        <v>Concluído</v>
      </c>
      <c r="P44" s="51"/>
    </row>
    <row r="45" spans="1:16" x14ac:dyDescent="0.25">
      <c r="A45" s="7">
        <v>46260</v>
      </c>
      <c r="B45" s="7" t="str">
        <f t="shared" si="2"/>
        <v>Agosto</v>
      </c>
      <c r="C45" s="1" t="s">
        <v>41</v>
      </c>
      <c r="E45" s="50" t="str">
        <f>IF(C45="","",IFERROR(VLOOKUP(C45,Clientes!$C$2:$D$1000,2,FALSE),"Não definido"))</f>
        <v>Não</v>
      </c>
      <c r="F45" s="3" t="s">
        <v>102</v>
      </c>
      <c r="G45" s="3" t="s">
        <v>103</v>
      </c>
      <c r="H45" s="3">
        <v>8</v>
      </c>
      <c r="I45" s="3">
        <v>8</v>
      </c>
      <c r="J45" s="3">
        <f t="shared" si="0"/>
        <v>0</v>
      </c>
      <c r="K45" s="8">
        <f t="shared" si="1"/>
        <v>1</v>
      </c>
      <c r="L45" s="3" t="str">
        <f t="shared" si="4"/>
        <v>Concluído</v>
      </c>
      <c r="P45" s="51"/>
    </row>
    <row r="46" spans="1:16" x14ac:dyDescent="0.25">
      <c r="A46" s="7">
        <v>46260</v>
      </c>
      <c r="B46" s="7" t="str">
        <f t="shared" si="2"/>
        <v>Agosto</v>
      </c>
      <c r="C46" s="1" t="s">
        <v>41</v>
      </c>
      <c r="E46" s="50" t="str">
        <f>IF(C46="","",IFERROR(VLOOKUP(C46,Clientes!$C$2:$D$1000,2,FALSE),"Não definido"))</f>
        <v>Não</v>
      </c>
      <c r="F46" s="3" t="s">
        <v>104</v>
      </c>
      <c r="G46" s="3" t="s">
        <v>105</v>
      </c>
      <c r="H46" s="3">
        <v>8</v>
      </c>
      <c r="I46" s="3">
        <v>8</v>
      </c>
      <c r="J46" s="3">
        <f t="shared" si="0"/>
        <v>0</v>
      </c>
      <c r="K46" s="8">
        <f t="shared" si="1"/>
        <v>1</v>
      </c>
      <c r="L46" s="3" t="str">
        <f t="shared" si="4"/>
        <v>Concluído</v>
      </c>
      <c r="P46" s="51"/>
    </row>
    <row r="47" spans="1:16" x14ac:dyDescent="0.25">
      <c r="A47" s="7">
        <v>46260</v>
      </c>
      <c r="B47" s="7" t="str">
        <f t="shared" si="2"/>
        <v>Agosto</v>
      </c>
      <c r="C47" s="1" t="s">
        <v>106</v>
      </c>
      <c r="E47" s="50" t="str">
        <f>IF(C47="","",IFERROR(VLOOKUP(C47,Clientes!$C$2:$D$1000,2,FALSE),"Não definido"))</f>
        <v>Sim</v>
      </c>
      <c r="F47" s="3" t="s">
        <v>107</v>
      </c>
      <c r="G47" s="3" t="s">
        <v>108</v>
      </c>
      <c r="H47" s="3">
        <v>8</v>
      </c>
      <c r="I47" s="3">
        <v>8</v>
      </c>
      <c r="J47" s="3">
        <f t="shared" si="0"/>
        <v>0</v>
      </c>
      <c r="K47" s="8">
        <f t="shared" ref="K47" si="5">IF(H47="","",IFERROR(I47/H47,0))</f>
        <v>1</v>
      </c>
      <c r="L47" s="3" t="str">
        <f t="shared" si="4"/>
        <v>Concluído</v>
      </c>
      <c r="P47" s="51"/>
    </row>
    <row r="48" spans="1:16" x14ac:dyDescent="0.25">
      <c r="A48" s="7">
        <v>46260</v>
      </c>
      <c r="B48" s="7" t="str">
        <f t="shared" si="2"/>
        <v>Agosto</v>
      </c>
      <c r="C48" s="2" t="s">
        <v>34</v>
      </c>
      <c r="D48" s="2"/>
      <c r="E48" s="50" t="str">
        <f>IF(C48="","",IFERROR(VLOOKUP(C48,Clientes!$C$2:$D$1000,2,FALSE),"Não definido"))</f>
        <v>Sim</v>
      </c>
      <c r="F48" s="3" t="s">
        <v>39</v>
      </c>
      <c r="G48" s="3" t="s">
        <v>109</v>
      </c>
      <c r="H48" s="3">
        <v>8</v>
      </c>
      <c r="I48" s="3">
        <v>8</v>
      </c>
      <c r="J48" s="3">
        <f t="shared" si="0"/>
        <v>0</v>
      </c>
      <c r="K48" s="8">
        <f t="shared" si="1"/>
        <v>1</v>
      </c>
      <c r="L48" s="3" t="str">
        <f t="shared" si="4"/>
        <v>Concluído</v>
      </c>
      <c r="P48" s="51"/>
    </row>
    <row r="49" spans="1:16" x14ac:dyDescent="0.25">
      <c r="A49" s="7">
        <v>46261</v>
      </c>
      <c r="B49" s="7" t="str">
        <f t="shared" si="2"/>
        <v>Agosto</v>
      </c>
      <c r="C49" s="2" t="s">
        <v>34</v>
      </c>
      <c r="D49" s="2"/>
      <c r="E49" s="50" t="str">
        <f>IF(C49="","",IFERROR(VLOOKUP(C49,Clientes!$C$2:$D$1000,2,FALSE),"Não definido"))</f>
        <v>Sim</v>
      </c>
      <c r="F49" s="3" t="s">
        <v>39</v>
      </c>
      <c r="G49" s="3" t="s">
        <v>109</v>
      </c>
      <c r="H49" s="3">
        <v>8</v>
      </c>
      <c r="I49" s="3">
        <v>8</v>
      </c>
      <c r="J49" s="3">
        <f t="shared" si="0"/>
        <v>0</v>
      </c>
      <c r="K49" s="8">
        <f t="shared" si="1"/>
        <v>1</v>
      </c>
      <c r="L49" s="3" t="str">
        <f t="shared" si="4"/>
        <v>Concluído</v>
      </c>
      <c r="P49" s="51"/>
    </row>
    <row r="50" spans="1:16" x14ac:dyDescent="0.25">
      <c r="A50" s="7">
        <v>46261</v>
      </c>
      <c r="B50" s="7" t="str">
        <f t="shared" si="2"/>
        <v>Agosto</v>
      </c>
      <c r="C50" s="1" t="s">
        <v>41</v>
      </c>
      <c r="E50" s="50" t="str">
        <f>IF(C50="","",IFERROR(VLOOKUP(C50,Clientes!$C$2:$D$1000,2,FALSE),"Não definido"))</f>
        <v>Não</v>
      </c>
      <c r="F50" s="3" t="s">
        <v>110</v>
      </c>
      <c r="G50" s="13" t="s">
        <v>111</v>
      </c>
      <c r="H50" s="3">
        <v>8</v>
      </c>
      <c r="I50" s="3">
        <v>8</v>
      </c>
      <c r="J50" s="3">
        <f t="shared" si="0"/>
        <v>0</v>
      </c>
      <c r="K50" s="8">
        <f t="shared" si="1"/>
        <v>1</v>
      </c>
      <c r="L50" s="3" t="str">
        <f t="shared" si="4"/>
        <v>Concluído</v>
      </c>
      <c r="P50" s="51"/>
    </row>
    <row r="51" spans="1:16" x14ac:dyDescent="0.25">
      <c r="A51" s="7">
        <v>46261</v>
      </c>
      <c r="B51" s="7" t="str">
        <f t="shared" si="2"/>
        <v>Agosto</v>
      </c>
      <c r="C51" s="1" t="s">
        <v>41</v>
      </c>
      <c r="E51" s="50" t="str">
        <f>IF(C51="","",IFERROR(VLOOKUP(C51,Clientes!$C$2:$D$1000,2,FALSE),"Não definido"))</f>
        <v>Não</v>
      </c>
      <c r="F51" s="3" t="s">
        <v>100</v>
      </c>
      <c r="G51" s="13" t="s">
        <v>112</v>
      </c>
      <c r="H51" s="3">
        <v>8</v>
      </c>
      <c r="I51" s="3">
        <v>8</v>
      </c>
      <c r="J51" s="3">
        <f t="shared" si="0"/>
        <v>0</v>
      </c>
      <c r="K51" s="8">
        <f t="shared" si="1"/>
        <v>1</v>
      </c>
      <c r="L51" s="3" t="str">
        <f t="shared" si="4"/>
        <v>Concluído</v>
      </c>
      <c r="P51" s="51"/>
    </row>
    <row r="52" spans="1:16" x14ac:dyDescent="0.25">
      <c r="A52" s="7">
        <v>46261</v>
      </c>
      <c r="B52" s="7" t="str">
        <f t="shared" si="2"/>
        <v>Agosto</v>
      </c>
      <c r="C52" s="1" t="s">
        <v>41</v>
      </c>
      <c r="E52" s="50" t="str">
        <f>IF(C52="","",IFERROR(VLOOKUP(C52,Clientes!$C$2:$D$1000,2,FALSE),"Não definido"))</f>
        <v>Não</v>
      </c>
      <c r="F52" s="3" t="s">
        <v>113</v>
      </c>
      <c r="G52" s="13" t="s">
        <v>114</v>
      </c>
      <c r="H52" s="3">
        <v>8</v>
      </c>
      <c r="I52" s="3">
        <v>8</v>
      </c>
      <c r="J52" s="3">
        <f t="shared" si="0"/>
        <v>0</v>
      </c>
      <c r="K52" s="8">
        <f t="shared" si="1"/>
        <v>1</v>
      </c>
      <c r="L52" s="3" t="str">
        <f t="shared" si="4"/>
        <v>Concluído</v>
      </c>
      <c r="P52" s="51"/>
    </row>
    <row r="53" spans="1:16" x14ac:dyDescent="0.25">
      <c r="A53" s="7">
        <v>46261</v>
      </c>
      <c r="B53" s="7" t="str">
        <f t="shared" si="2"/>
        <v>Agosto</v>
      </c>
      <c r="C53" s="1" t="s">
        <v>41</v>
      </c>
      <c r="E53" s="50" t="str">
        <f>IF(C53="","",IFERROR(VLOOKUP(C53,Clientes!$C$2:$D$1000,2,FALSE),"Não definido"))</f>
        <v>Não</v>
      </c>
      <c r="F53" s="3" t="s">
        <v>115</v>
      </c>
      <c r="G53" s="13" t="s">
        <v>116</v>
      </c>
      <c r="H53" s="3">
        <v>8</v>
      </c>
      <c r="I53" s="3">
        <v>8</v>
      </c>
      <c r="J53" s="3">
        <f t="shared" si="0"/>
        <v>0</v>
      </c>
      <c r="K53" s="8">
        <f t="shared" si="1"/>
        <v>1</v>
      </c>
      <c r="L53" s="3" t="str">
        <f t="shared" si="4"/>
        <v>Concluído</v>
      </c>
      <c r="P53" s="51"/>
    </row>
    <row r="54" spans="1:16" x14ac:dyDescent="0.25">
      <c r="A54" s="7">
        <v>46261</v>
      </c>
      <c r="B54" s="7" t="str">
        <f t="shared" si="2"/>
        <v>Agosto</v>
      </c>
      <c r="C54" s="1" t="s">
        <v>41</v>
      </c>
      <c r="E54" s="50" t="str">
        <f>IF(C54="","",IFERROR(VLOOKUP(C54,Clientes!$C$2:$D$1000,2,FALSE),"Não definido"))</f>
        <v>Não</v>
      </c>
      <c r="F54" s="3" t="s">
        <v>117</v>
      </c>
      <c r="G54" s="13" t="s">
        <v>118</v>
      </c>
      <c r="H54" s="3">
        <v>8</v>
      </c>
      <c r="I54" s="3">
        <v>8</v>
      </c>
      <c r="J54" s="3">
        <f t="shared" si="0"/>
        <v>0</v>
      </c>
      <c r="K54" s="8">
        <f t="shared" si="1"/>
        <v>1</v>
      </c>
      <c r="L54" s="3" t="str">
        <f t="shared" si="4"/>
        <v>Concluído</v>
      </c>
      <c r="P54" s="51"/>
    </row>
    <row r="55" spans="1:16" x14ac:dyDescent="0.25">
      <c r="A55" s="7">
        <v>46262</v>
      </c>
      <c r="B55" s="7" t="str">
        <f t="shared" si="2"/>
        <v>Agosto</v>
      </c>
      <c r="C55" s="1" t="s">
        <v>16</v>
      </c>
      <c r="E55" s="50" t="str">
        <f>IF(C55="","",IFERROR(VLOOKUP(C55,Clientes!$C$2:$D$1000,2,FALSE),"Não definido"))</f>
        <v>Não</v>
      </c>
      <c r="F55" s="4" t="s">
        <v>119</v>
      </c>
      <c r="G55" s="4" t="s">
        <v>120</v>
      </c>
      <c r="H55" s="3">
        <v>8</v>
      </c>
      <c r="I55" s="3">
        <v>8</v>
      </c>
      <c r="J55" s="3">
        <f t="shared" si="0"/>
        <v>0</v>
      </c>
      <c r="K55" s="8">
        <f t="shared" si="1"/>
        <v>1</v>
      </c>
      <c r="L55" s="3" t="str">
        <f t="shared" si="4"/>
        <v>Concluído</v>
      </c>
      <c r="P55" s="51"/>
    </row>
    <row r="56" spans="1:16" x14ac:dyDescent="0.25">
      <c r="A56" s="7">
        <v>46262</v>
      </c>
      <c r="B56" s="7" t="str">
        <f t="shared" si="2"/>
        <v>Agosto</v>
      </c>
      <c r="C56" s="55" t="s">
        <v>121</v>
      </c>
      <c r="D56" s="55"/>
      <c r="E56" s="50" t="str">
        <f>IF(C56="","",IFERROR(VLOOKUP(C56,Clientes!$C$2:$D$1000,2,FALSE),"Não definido"))</f>
        <v>Sim</v>
      </c>
      <c r="F56" s="4" t="s">
        <v>23</v>
      </c>
      <c r="G56" s="4" t="s">
        <v>122</v>
      </c>
      <c r="H56" s="3">
        <v>8</v>
      </c>
      <c r="I56" s="3">
        <v>8</v>
      </c>
      <c r="J56" s="3">
        <f t="shared" si="0"/>
        <v>0</v>
      </c>
      <c r="K56" s="8">
        <f t="shared" si="1"/>
        <v>1</v>
      </c>
      <c r="L56" s="3" t="str">
        <f t="shared" si="4"/>
        <v>Concluído</v>
      </c>
      <c r="P56" s="51"/>
    </row>
    <row r="57" spans="1:16" x14ac:dyDescent="0.25">
      <c r="A57" s="7">
        <v>46262</v>
      </c>
      <c r="B57" s="7" t="str">
        <f t="shared" si="2"/>
        <v>Agosto</v>
      </c>
      <c r="C57" s="1" t="s">
        <v>41</v>
      </c>
      <c r="E57" s="50" t="str">
        <f>IF(C57="","",IFERROR(VLOOKUP(C57,Clientes!$C$2:$D$1000,2,FALSE),"Não definido"))</f>
        <v>Não</v>
      </c>
      <c r="F57" s="14" t="s">
        <v>123</v>
      </c>
      <c r="G57" s="14" t="s">
        <v>124</v>
      </c>
      <c r="H57" s="3">
        <v>8</v>
      </c>
      <c r="I57" s="3">
        <v>8</v>
      </c>
      <c r="J57" s="3">
        <f t="shared" si="0"/>
        <v>0</v>
      </c>
      <c r="K57" s="8">
        <f t="shared" si="1"/>
        <v>1</v>
      </c>
      <c r="L57" s="3" t="str">
        <f t="shared" si="4"/>
        <v>Concluído</v>
      </c>
      <c r="P57" s="51"/>
    </row>
    <row r="58" spans="1:16" x14ac:dyDescent="0.25">
      <c r="A58" s="7">
        <v>46262</v>
      </c>
      <c r="B58" s="7" t="str">
        <f t="shared" si="2"/>
        <v>Agosto</v>
      </c>
      <c r="C58" s="1" t="s">
        <v>41</v>
      </c>
      <c r="E58" s="50" t="str">
        <f>IF(C58="","",IFERROR(VLOOKUP(C58,Clientes!$C$2:$D$1000,2,FALSE),"Não definido"))</f>
        <v>Não</v>
      </c>
      <c r="F58" s="14" t="s">
        <v>125</v>
      </c>
      <c r="G58" s="14" t="s">
        <v>126</v>
      </c>
      <c r="H58" s="3">
        <v>8</v>
      </c>
      <c r="I58" s="3">
        <v>0</v>
      </c>
      <c r="J58" s="3">
        <f t="shared" si="0"/>
        <v>-8</v>
      </c>
      <c r="K58" s="8">
        <f t="shared" si="1"/>
        <v>0</v>
      </c>
      <c r="L58" s="3" t="str">
        <f t="shared" si="4"/>
        <v>Não executado</v>
      </c>
      <c r="O58" s="3" t="s">
        <v>127</v>
      </c>
      <c r="P58" s="51"/>
    </row>
    <row r="59" spans="1:16" x14ac:dyDescent="0.25">
      <c r="A59" s="7">
        <v>46262</v>
      </c>
      <c r="B59" s="7" t="str">
        <f t="shared" si="2"/>
        <v>Agosto</v>
      </c>
      <c r="C59" s="1" t="s">
        <v>41</v>
      </c>
      <c r="E59" s="50" t="str">
        <f>IF(C59="","",IFERROR(VLOOKUP(C59,Clientes!$C$2:$D$1000,2,FALSE),"Não definido"))</f>
        <v>Não</v>
      </c>
      <c r="F59" s="14" t="s">
        <v>128</v>
      </c>
      <c r="G59" s="14" t="s">
        <v>129</v>
      </c>
      <c r="H59" s="3">
        <v>8</v>
      </c>
      <c r="I59" s="3">
        <v>8</v>
      </c>
      <c r="J59" s="3">
        <f t="shared" si="0"/>
        <v>0</v>
      </c>
      <c r="K59" s="8">
        <f t="shared" si="1"/>
        <v>1</v>
      </c>
      <c r="L59" s="3" t="str">
        <f t="shared" si="4"/>
        <v>Concluído</v>
      </c>
      <c r="P59" s="51"/>
    </row>
    <row r="60" spans="1:16" x14ac:dyDescent="0.25">
      <c r="A60" s="7">
        <v>46262</v>
      </c>
      <c r="B60" s="7" t="str">
        <f t="shared" si="2"/>
        <v>Agosto</v>
      </c>
      <c r="C60" s="1" t="s">
        <v>41</v>
      </c>
      <c r="E60" s="50" t="str">
        <f>IF(C60="","",IFERROR(VLOOKUP(C60,Clientes!$C$2:$D$1000,2,FALSE),"Não definido"))</f>
        <v>Não</v>
      </c>
      <c r="F60" s="14" t="s">
        <v>86</v>
      </c>
      <c r="G60" s="14" t="s">
        <v>130</v>
      </c>
      <c r="H60" s="3">
        <v>8</v>
      </c>
      <c r="I60" s="3">
        <v>0</v>
      </c>
      <c r="J60" s="3">
        <f t="shared" si="0"/>
        <v>-8</v>
      </c>
      <c r="K60" s="8">
        <f t="shared" si="1"/>
        <v>0</v>
      </c>
      <c r="L60" s="3" t="str">
        <f t="shared" si="4"/>
        <v>Não executado</v>
      </c>
      <c r="O60" s="3" t="s">
        <v>131</v>
      </c>
      <c r="P60" s="51"/>
    </row>
    <row r="61" spans="1:16" x14ac:dyDescent="0.25">
      <c r="A61" s="7">
        <v>46263</v>
      </c>
      <c r="B61" s="7" t="str">
        <f t="shared" si="2"/>
        <v>Agosto</v>
      </c>
      <c r="C61" s="1" t="s">
        <v>132</v>
      </c>
      <c r="D61" s="67">
        <v>176530</v>
      </c>
      <c r="E61" s="50" t="str">
        <f>IF(C61="","",IFERROR(VLOOKUP(C61,Clientes!$C$2:$D$1000,2,FALSE),"Não definido"))</f>
        <v>Sim</v>
      </c>
      <c r="F61" s="14" t="s">
        <v>133</v>
      </c>
      <c r="G61" s="14" t="s">
        <v>134</v>
      </c>
      <c r="H61" s="3">
        <v>8</v>
      </c>
      <c r="I61" s="3">
        <v>8</v>
      </c>
      <c r="J61" s="3">
        <f t="shared" si="0"/>
        <v>0</v>
      </c>
      <c r="K61" s="8">
        <f t="shared" si="1"/>
        <v>1</v>
      </c>
      <c r="L61" s="3" t="str">
        <f t="shared" si="4"/>
        <v>Concluído</v>
      </c>
      <c r="P61" s="51" t="s">
        <v>172</v>
      </c>
    </row>
    <row r="62" spans="1:16" x14ac:dyDescent="0.25">
      <c r="A62" s="7">
        <v>46263</v>
      </c>
      <c r="B62" s="7" t="str">
        <f t="shared" si="2"/>
        <v>Agosto</v>
      </c>
      <c r="C62" s="1" t="s">
        <v>16</v>
      </c>
      <c r="E62" s="50" t="str">
        <f>IF(C62="","",IFERROR(VLOOKUP(C62,Clientes!$C$2:$D$1000,2,FALSE),"Não definido"))</f>
        <v>Não</v>
      </c>
      <c r="F62" s="14" t="s">
        <v>86</v>
      </c>
      <c r="G62" s="14" t="s">
        <v>135</v>
      </c>
      <c r="H62" s="3">
        <v>8</v>
      </c>
      <c r="I62" s="3">
        <v>8</v>
      </c>
      <c r="J62" s="3">
        <f t="shared" si="0"/>
        <v>0</v>
      </c>
      <c r="K62" s="8">
        <f t="shared" si="1"/>
        <v>1</v>
      </c>
      <c r="L62" s="3" t="str">
        <f t="shared" si="4"/>
        <v>Concluído</v>
      </c>
      <c r="P62" s="51"/>
    </row>
    <row r="63" spans="1:16" x14ac:dyDescent="0.25">
      <c r="A63" s="7">
        <v>46265</v>
      </c>
      <c r="B63" s="7" t="str">
        <f t="shared" si="2"/>
        <v>Agosto</v>
      </c>
      <c r="C63" s="1" t="s">
        <v>136</v>
      </c>
      <c r="E63" s="50" t="str">
        <f>IF(C63="","",IFERROR(VLOOKUP(C63,Clientes!$C$2:$D$1000,2,FALSE),"Não definido"))</f>
        <v>Sim</v>
      </c>
      <c r="F63" s="14" t="s">
        <v>137</v>
      </c>
      <c r="G63" s="14" t="s">
        <v>138</v>
      </c>
      <c r="H63" s="3">
        <v>8</v>
      </c>
      <c r="I63" s="3">
        <v>8</v>
      </c>
      <c r="J63" s="3">
        <f t="shared" si="0"/>
        <v>0</v>
      </c>
      <c r="K63" s="8">
        <f t="shared" si="1"/>
        <v>1</v>
      </c>
      <c r="L63" s="3" t="str">
        <f t="shared" si="4"/>
        <v>Concluído</v>
      </c>
      <c r="P63" s="51"/>
    </row>
    <row r="64" spans="1:16" x14ac:dyDescent="0.25">
      <c r="A64" s="7">
        <v>46265</v>
      </c>
      <c r="B64" s="7" t="str">
        <f t="shared" si="2"/>
        <v>Agosto</v>
      </c>
      <c r="C64" s="1" t="s">
        <v>41</v>
      </c>
      <c r="D64" s="1" t="s">
        <v>207</v>
      </c>
      <c r="E64" s="50" t="str">
        <f>IF(C64="","",IFERROR(VLOOKUP(C64,Clientes!$C$2:$D$1000,2,FALSE),"Não definido"))</f>
        <v>Não</v>
      </c>
      <c r="F64" s="14" t="s">
        <v>139</v>
      </c>
      <c r="G64" s="14" t="s">
        <v>140</v>
      </c>
      <c r="H64" s="3">
        <v>8</v>
      </c>
      <c r="I64" s="3">
        <v>8</v>
      </c>
      <c r="J64" s="3">
        <f t="shared" si="0"/>
        <v>0</v>
      </c>
      <c r="K64" s="8">
        <f t="shared" si="1"/>
        <v>1</v>
      </c>
      <c r="L64" s="3" t="str">
        <f t="shared" si="4"/>
        <v>Concluído</v>
      </c>
      <c r="P64" s="51"/>
    </row>
    <row r="65" spans="1:16" x14ac:dyDescent="0.25">
      <c r="A65" s="7">
        <v>46265</v>
      </c>
      <c r="B65" s="7" t="str">
        <f t="shared" si="2"/>
        <v>Agosto</v>
      </c>
      <c r="C65" s="1" t="s">
        <v>41</v>
      </c>
      <c r="D65" s="1" t="s">
        <v>207</v>
      </c>
      <c r="E65" s="50" t="str">
        <f>IF(C65="","",IFERROR(VLOOKUP(C65,Clientes!$C$2:$D$1000,2,FALSE),"Não definido"))</f>
        <v>Não</v>
      </c>
      <c r="F65" s="14" t="s">
        <v>107</v>
      </c>
      <c r="G65" s="14" t="s">
        <v>141</v>
      </c>
      <c r="H65" s="3">
        <v>8</v>
      </c>
      <c r="I65" s="3">
        <v>8</v>
      </c>
      <c r="J65" s="3">
        <f t="shared" si="0"/>
        <v>0</v>
      </c>
      <c r="K65" s="8">
        <f t="shared" ref="K65:K128" si="6">IF(H65="","",IFERROR(I65/H65,0))</f>
        <v>1</v>
      </c>
      <c r="L65" s="3" t="str">
        <f t="shared" si="4"/>
        <v>Concluído</v>
      </c>
      <c r="P65" s="51"/>
    </row>
    <row r="66" spans="1:16" x14ac:dyDescent="0.25">
      <c r="A66" s="7">
        <v>46265</v>
      </c>
      <c r="B66" s="7" t="str">
        <f t="shared" si="2"/>
        <v>Agosto</v>
      </c>
      <c r="C66" s="1" t="s">
        <v>41</v>
      </c>
      <c r="D66" s="1" t="s">
        <v>207</v>
      </c>
      <c r="E66" s="50" t="str">
        <f>IF(C66="","",IFERROR(VLOOKUP(C66,Clientes!$C$2:$D$1000,2,FALSE),"Não definido"))</f>
        <v>Não</v>
      </c>
      <c r="F66" s="14" t="s">
        <v>66</v>
      </c>
      <c r="G66" s="14" t="s">
        <v>142</v>
      </c>
      <c r="H66" s="3">
        <v>8</v>
      </c>
      <c r="I66" s="3">
        <v>8</v>
      </c>
      <c r="J66" s="3">
        <f t="shared" ref="J66:J129" si="7">I66-H66</f>
        <v>0</v>
      </c>
      <c r="K66" s="8">
        <f t="shared" si="6"/>
        <v>1</v>
      </c>
      <c r="L66" s="3" t="str">
        <f t="shared" si="4"/>
        <v>Concluído</v>
      </c>
      <c r="P66" s="51"/>
    </row>
    <row r="67" spans="1:16" x14ac:dyDescent="0.25">
      <c r="A67" s="7">
        <v>46265</v>
      </c>
      <c r="B67" s="7" t="str">
        <f t="shared" ref="B67:B130" si="8">IF(A67="","",PROPER(TEXT(A67,"mmmm")))</f>
        <v>Agosto</v>
      </c>
      <c r="C67" s="1" t="s">
        <v>41</v>
      </c>
      <c r="D67" s="1" t="s">
        <v>207</v>
      </c>
      <c r="E67" s="50" t="str">
        <f>IF(C67="","",IFERROR(VLOOKUP(C67,Clientes!$C$2:$D$1000,2,FALSE),"Não definido"))</f>
        <v>Não</v>
      </c>
      <c r="F67" s="14" t="s">
        <v>110</v>
      </c>
      <c r="G67" s="14" t="s">
        <v>143</v>
      </c>
      <c r="H67" s="3">
        <v>8</v>
      </c>
      <c r="I67" s="3">
        <v>8</v>
      </c>
      <c r="J67" s="3">
        <f t="shared" si="7"/>
        <v>0</v>
      </c>
      <c r="K67" s="8">
        <f t="shared" si="6"/>
        <v>1</v>
      </c>
      <c r="L67" s="3" t="str">
        <f t="shared" si="4"/>
        <v>Concluído</v>
      </c>
      <c r="P67" s="51"/>
    </row>
    <row r="68" spans="1:16" x14ac:dyDescent="0.25">
      <c r="A68" s="7">
        <v>46265</v>
      </c>
      <c r="B68" s="7" t="str">
        <f t="shared" si="8"/>
        <v>Agosto</v>
      </c>
      <c r="C68" s="1" t="s">
        <v>41</v>
      </c>
      <c r="D68" s="1" t="s">
        <v>207</v>
      </c>
      <c r="E68" s="50" t="str">
        <f>IF(C68="","",IFERROR(VLOOKUP(C68,Clientes!$C$2:$D$1000,2,FALSE),"Não definido"))</f>
        <v>Não</v>
      </c>
      <c r="F68" s="14" t="s">
        <v>144</v>
      </c>
      <c r="G68" s="14" t="s">
        <v>145</v>
      </c>
      <c r="H68" s="3">
        <v>8</v>
      </c>
      <c r="I68" s="3">
        <v>8</v>
      </c>
      <c r="J68" s="3">
        <f t="shared" si="7"/>
        <v>0</v>
      </c>
      <c r="K68" s="8">
        <f t="shared" si="6"/>
        <v>1</v>
      </c>
      <c r="L68" s="3" t="str">
        <f t="shared" si="4"/>
        <v>Concluído</v>
      </c>
      <c r="P68" s="51"/>
    </row>
    <row r="69" spans="1:16" x14ac:dyDescent="0.25">
      <c r="A69" s="7">
        <v>46266</v>
      </c>
      <c r="B69" s="7" t="str">
        <f t="shared" si="8"/>
        <v>Setembro</v>
      </c>
      <c r="C69" s="1" t="s">
        <v>132</v>
      </c>
      <c r="D69" s="68">
        <v>176530</v>
      </c>
      <c r="E69" s="50" t="str">
        <f>IF(C69="","",IFERROR(VLOOKUP(C69,Clientes!$C$2:$D$1000,2,FALSE),"Não definido"))</f>
        <v>Sim</v>
      </c>
      <c r="F69" s="3" t="s">
        <v>146</v>
      </c>
      <c r="G69" s="3" t="s">
        <v>147</v>
      </c>
      <c r="H69" s="3">
        <v>8</v>
      </c>
      <c r="I69" s="3">
        <v>8</v>
      </c>
      <c r="J69" s="3">
        <f t="shared" si="7"/>
        <v>0</v>
      </c>
      <c r="K69" s="8">
        <f t="shared" si="6"/>
        <v>1</v>
      </c>
      <c r="L69" s="3" t="str">
        <f t="shared" si="4"/>
        <v>Concluído</v>
      </c>
      <c r="P69" s="51" t="s">
        <v>172</v>
      </c>
    </row>
    <row r="70" spans="1:16" x14ac:dyDescent="0.25">
      <c r="A70" s="7">
        <v>46266</v>
      </c>
      <c r="B70" s="7" t="str">
        <f t="shared" si="8"/>
        <v>Setembro</v>
      </c>
      <c r="C70" s="1" t="s">
        <v>19</v>
      </c>
      <c r="E70" s="50" t="str">
        <f>IF(C70="","",IFERROR(VLOOKUP(C70,Clientes!$C$2:$D$1000,2,FALSE),"Não definido"))</f>
        <v>Sim</v>
      </c>
      <c r="F70" s="3" t="s">
        <v>23</v>
      </c>
      <c r="G70" s="3" t="s">
        <v>148</v>
      </c>
      <c r="H70" s="3">
        <v>8</v>
      </c>
      <c r="I70" s="3">
        <v>8</v>
      </c>
      <c r="J70" s="3">
        <f t="shared" si="7"/>
        <v>0</v>
      </c>
      <c r="K70" s="8">
        <f t="shared" si="6"/>
        <v>1</v>
      </c>
      <c r="L70" s="3" t="str">
        <f t="shared" si="4"/>
        <v>Concluído</v>
      </c>
      <c r="P70" s="51"/>
    </row>
    <row r="71" spans="1:16" x14ac:dyDescent="0.25">
      <c r="A71" s="7">
        <v>46266</v>
      </c>
      <c r="B71" s="7" t="str">
        <f t="shared" si="8"/>
        <v>Setembro</v>
      </c>
      <c r="C71" s="1" t="s">
        <v>149</v>
      </c>
      <c r="D71" s="69">
        <v>10001890633</v>
      </c>
      <c r="E71" s="50" t="str">
        <f>IF(C71="","",IFERROR(VLOOKUP(C71,Clientes!$C$2:$D$1000,2,FALSE),"Não definido"))</f>
        <v>Sim</v>
      </c>
      <c r="F71" s="3" t="s">
        <v>79</v>
      </c>
      <c r="G71" s="3" t="s">
        <v>18</v>
      </c>
      <c r="H71" s="3">
        <v>8</v>
      </c>
      <c r="I71" s="3">
        <v>8</v>
      </c>
      <c r="J71" s="3">
        <f t="shared" si="7"/>
        <v>0</v>
      </c>
      <c r="K71" s="8">
        <f t="shared" si="6"/>
        <v>1</v>
      </c>
      <c r="L71" s="3" t="str">
        <f t="shared" si="4"/>
        <v>Concluído</v>
      </c>
      <c r="P71" s="51"/>
    </row>
    <row r="72" spans="1:16" x14ac:dyDescent="0.25">
      <c r="A72" s="7">
        <v>46266</v>
      </c>
      <c r="B72" s="7" t="str">
        <f t="shared" si="8"/>
        <v>Setembro</v>
      </c>
      <c r="C72" s="1" t="s">
        <v>41</v>
      </c>
      <c r="D72" s="1" t="s">
        <v>207</v>
      </c>
      <c r="E72" s="50" t="str">
        <f>IF(C72="","",IFERROR(VLOOKUP(C72,Clientes!$C$2:$D$1000,2,FALSE),"Não definido"))</f>
        <v>Não</v>
      </c>
      <c r="F72" s="3" t="s">
        <v>150</v>
      </c>
      <c r="G72" s="3" t="s">
        <v>140</v>
      </c>
      <c r="H72" s="3">
        <v>8</v>
      </c>
      <c r="I72" s="3">
        <v>8</v>
      </c>
      <c r="J72" s="3">
        <f t="shared" si="7"/>
        <v>0</v>
      </c>
      <c r="K72" s="8">
        <f t="shared" si="6"/>
        <v>1</v>
      </c>
      <c r="L72" s="3" t="str">
        <f t="shared" si="4"/>
        <v>Concluído</v>
      </c>
      <c r="P72" s="51"/>
    </row>
    <row r="73" spans="1:16" x14ac:dyDescent="0.25">
      <c r="A73" s="7">
        <v>46266</v>
      </c>
      <c r="B73" s="7" t="str">
        <f t="shared" si="8"/>
        <v>Setembro</v>
      </c>
      <c r="C73" s="1" t="s">
        <v>41</v>
      </c>
      <c r="D73" s="1" t="s">
        <v>207</v>
      </c>
      <c r="E73" s="50" t="str">
        <f>IF(C73="","",IFERROR(VLOOKUP(C73,Clientes!$C$2:$D$1000,2,FALSE),"Não definido"))</f>
        <v>Não</v>
      </c>
      <c r="F73" s="3" t="s">
        <v>151</v>
      </c>
      <c r="G73" s="3" t="s">
        <v>152</v>
      </c>
      <c r="H73" s="3">
        <v>8</v>
      </c>
      <c r="I73" s="3">
        <v>8</v>
      </c>
      <c r="J73" s="3">
        <f t="shared" si="7"/>
        <v>0</v>
      </c>
      <c r="K73" s="8">
        <f t="shared" si="6"/>
        <v>1</v>
      </c>
      <c r="L73" s="3" t="str">
        <f t="shared" si="4"/>
        <v>Concluído</v>
      </c>
      <c r="P73" s="51"/>
    </row>
    <row r="74" spans="1:16" x14ac:dyDescent="0.25">
      <c r="A74" s="7">
        <v>46267</v>
      </c>
      <c r="B74" s="7" t="str">
        <f t="shared" si="8"/>
        <v>Setembro</v>
      </c>
      <c r="C74" s="1" t="s">
        <v>149</v>
      </c>
      <c r="D74" s="69">
        <v>10001880548</v>
      </c>
      <c r="E74" s="50" t="str">
        <f>IF(C74="","",IFERROR(VLOOKUP(C74,Clientes!$C$2:$D$1000,2,FALSE),"Não definido"))</f>
        <v>Sim</v>
      </c>
      <c r="F74" s="3" t="s">
        <v>153</v>
      </c>
      <c r="G74" s="3" t="s">
        <v>18</v>
      </c>
      <c r="H74" s="3">
        <v>8</v>
      </c>
      <c r="I74" s="3">
        <v>8</v>
      </c>
      <c r="J74" s="3">
        <f t="shared" si="7"/>
        <v>0</v>
      </c>
      <c r="K74" s="8">
        <f t="shared" si="6"/>
        <v>1</v>
      </c>
      <c r="L74" s="3" t="str">
        <f t="shared" si="4"/>
        <v>Concluído</v>
      </c>
      <c r="P74" s="51"/>
    </row>
    <row r="75" spans="1:16" x14ac:dyDescent="0.25">
      <c r="A75" s="7">
        <v>46267</v>
      </c>
      <c r="B75" s="7" t="str">
        <f t="shared" si="8"/>
        <v>Setembro</v>
      </c>
      <c r="C75" s="1" t="s">
        <v>41</v>
      </c>
      <c r="D75" s="1" t="s">
        <v>207</v>
      </c>
      <c r="E75" s="50" t="str">
        <f>IF(C75="","",IFERROR(VLOOKUP(C75,Clientes!$C$2:$D$1000,2,FALSE),"Não definido"))</f>
        <v>Não</v>
      </c>
      <c r="F75" s="14" t="s">
        <v>86</v>
      </c>
      <c r="G75" s="3" t="s">
        <v>154</v>
      </c>
      <c r="H75" s="3">
        <v>8</v>
      </c>
      <c r="I75" s="3">
        <v>8</v>
      </c>
      <c r="J75" s="3">
        <f t="shared" si="7"/>
        <v>0</v>
      </c>
      <c r="K75" s="8">
        <f t="shared" si="6"/>
        <v>1</v>
      </c>
      <c r="L75" s="3" t="str">
        <f t="shared" si="4"/>
        <v>Concluído</v>
      </c>
      <c r="P75" s="51"/>
    </row>
    <row r="76" spans="1:16" x14ac:dyDescent="0.25">
      <c r="A76" s="7">
        <v>46267</v>
      </c>
      <c r="B76" s="7" t="str">
        <f t="shared" si="8"/>
        <v>Setembro</v>
      </c>
      <c r="C76" s="1" t="s">
        <v>41</v>
      </c>
      <c r="D76" s="1" t="s">
        <v>207</v>
      </c>
      <c r="E76" s="50" t="str">
        <f>IF(C76="","",IFERROR(VLOOKUP(C76,Clientes!$C$2:$D$1000,2,FALSE),"Não definido"))</f>
        <v>Não</v>
      </c>
      <c r="F76" s="3" t="s">
        <v>155</v>
      </c>
      <c r="G76" s="3" t="s">
        <v>156</v>
      </c>
      <c r="H76" s="3">
        <v>8</v>
      </c>
      <c r="I76" s="3">
        <v>8</v>
      </c>
      <c r="J76" s="3">
        <f t="shared" si="7"/>
        <v>0</v>
      </c>
      <c r="K76" s="8">
        <f t="shared" si="6"/>
        <v>1</v>
      </c>
      <c r="L76" s="3" t="str">
        <f t="shared" si="4"/>
        <v>Concluído</v>
      </c>
      <c r="P76" s="51"/>
    </row>
    <row r="77" spans="1:16" x14ac:dyDescent="0.25">
      <c r="A77" s="7">
        <v>46267</v>
      </c>
      <c r="B77" s="7" t="str">
        <f t="shared" si="8"/>
        <v>Setembro</v>
      </c>
      <c r="C77" s="1" t="s">
        <v>41</v>
      </c>
      <c r="D77" s="1" t="s">
        <v>207</v>
      </c>
      <c r="E77" s="50" t="str">
        <f>IF(C77="","",IFERROR(VLOOKUP(C77,Clientes!$C$2:$D$1000,2,FALSE),"Não definido"))</f>
        <v>Não</v>
      </c>
      <c r="F77" s="3" t="s">
        <v>157</v>
      </c>
      <c r="G77" s="3" t="s">
        <v>158</v>
      </c>
      <c r="H77" s="3">
        <v>8</v>
      </c>
      <c r="I77" s="3">
        <v>8</v>
      </c>
      <c r="J77" s="3">
        <f t="shared" si="7"/>
        <v>0</v>
      </c>
      <c r="K77" s="8">
        <f t="shared" si="6"/>
        <v>1</v>
      </c>
      <c r="L77" s="3" t="str">
        <f t="shared" si="4"/>
        <v>Concluído</v>
      </c>
      <c r="P77" s="51"/>
    </row>
    <row r="78" spans="1:16" x14ac:dyDescent="0.25">
      <c r="A78" s="7">
        <v>46267</v>
      </c>
      <c r="B78" s="7" t="str">
        <f t="shared" si="8"/>
        <v>Setembro</v>
      </c>
      <c r="C78" s="1" t="s">
        <v>41</v>
      </c>
      <c r="D78" s="1" t="s">
        <v>207</v>
      </c>
      <c r="E78" s="50" t="str">
        <f>IF(C78="","",IFERROR(VLOOKUP(C78,Clientes!$C$2:$D$1000,2,FALSE),"Não definido"))</f>
        <v>Não</v>
      </c>
      <c r="F78" s="3" t="s">
        <v>137</v>
      </c>
      <c r="G78" s="3" t="s">
        <v>159</v>
      </c>
      <c r="H78" s="3">
        <v>8</v>
      </c>
      <c r="I78" s="3">
        <v>8</v>
      </c>
      <c r="J78" s="3">
        <f t="shared" si="7"/>
        <v>0</v>
      </c>
      <c r="K78" s="8">
        <f t="shared" si="6"/>
        <v>1</v>
      </c>
      <c r="L78" s="3" t="str">
        <f t="shared" si="4"/>
        <v>Concluído</v>
      </c>
      <c r="P78" s="51"/>
    </row>
    <row r="79" spans="1:16" x14ac:dyDescent="0.25">
      <c r="A79" s="7">
        <v>46268</v>
      </c>
      <c r="B79" s="7" t="str">
        <f t="shared" si="8"/>
        <v>Setembro</v>
      </c>
      <c r="C79" s="1" t="s">
        <v>160</v>
      </c>
      <c r="E79" s="50" t="str">
        <f>IF(C79="","",IFERROR(VLOOKUP(C79,Clientes!$C$2:$D$1000,2,FALSE),"Não definido"))</f>
        <v>Sim</v>
      </c>
      <c r="F79" s="3" t="s">
        <v>32</v>
      </c>
      <c r="G79" s="3" t="s">
        <v>18</v>
      </c>
      <c r="H79" s="3">
        <v>8</v>
      </c>
      <c r="I79" s="3">
        <v>0</v>
      </c>
      <c r="J79" s="3">
        <f t="shared" si="7"/>
        <v>-8</v>
      </c>
      <c r="K79" s="8">
        <f t="shared" si="6"/>
        <v>0</v>
      </c>
      <c r="L79" s="3" t="str">
        <f t="shared" si="4"/>
        <v>Não executado</v>
      </c>
      <c r="M79" s="3" t="s">
        <v>161</v>
      </c>
      <c r="O79" s="3" t="s">
        <v>162</v>
      </c>
      <c r="P79" s="51"/>
    </row>
    <row r="80" spans="1:16" x14ac:dyDescent="0.25">
      <c r="A80" s="7">
        <v>46268</v>
      </c>
      <c r="B80" s="7" t="str">
        <f t="shared" si="8"/>
        <v>Setembro</v>
      </c>
      <c r="C80" s="1" t="s">
        <v>163</v>
      </c>
      <c r="E80" s="50" t="str">
        <f>IF(C80="","",IFERROR(VLOOKUP(C80,Clientes!$C$2:$D$1000,2,FALSE),"Não definido"))</f>
        <v>Sim</v>
      </c>
      <c r="F80" s="3" t="s">
        <v>146</v>
      </c>
      <c r="G80" s="3" t="s">
        <v>164</v>
      </c>
      <c r="H80" s="3">
        <v>8</v>
      </c>
      <c r="I80" s="3">
        <v>8</v>
      </c>
      <c r="J80" s="3">
        <f t="shared" si="7"/>
        <v>0</v>
      </c>
      <c r="K80" s="8">
        <f t="shared" si="6"/>
        <v>1</v>
      </c>
      <c r="L80" s="3" t="str">
        <f t="shared" si="4"/>
        <v>Concluído</v>
      </c>
      <c r="P80" s="51"/>
    </row>
    <row r="81" spans="1:16" x14ac:dyDescent="0.25">
      <c r="A81" s="7">
        <v>46268</v>
      </c>
      <c r="B81" s="7" t="str">
        <f t="shared" si="8"/>
        <v>Setembro</v>
      </c>
      <c r="C81" s="1" t="s">
        <v>41</v>
      </c>
      <c r="D81" s="1" t="s">
        <v>207</v>
      </c>
      <c r="E81" s="50" t="str">
        <f>IF(C81="","",IFERROR(VLOOKUP(C81,Clientes!$C$2:$D$1000,2,FALSE),"Não definido"))</f>
        <v>Não</v>
      </c>
      <c r="F81" s="14" t="s">
        <v>86</v>
      </c>
      <c r="G81" s="3" t="s">
        <v>154</v>
      </c>
      <c r="H81" s="3">
        <v>8</v>
      </c>
      <c r="I81" s="3">
        <v>8</v>
      </c>
      <c r="J81" s="3">
        <f t="shared" si="7"/>
        <v>0</v>
      </c>
      <c r="K81" s="8">
        <f t="shared" si="6"/>
        <v>1</v>
      </c>
      <c r="L81" s="3" t="str">
        <f t="shared" si="4"/>
        <v>Concluído</v>
      </c>
      <c r="P81" s="51"/>
    </row>
    <row r="82" spans="1:16" x14ac:dyDescent="0.25">
      <c r="A82" s="7">
        <v>46268</v>
      </c>
      <c r="B82" s="7" t="str">
        <f t="shared" si="8"/>
        <v>Setembro</v>
      </c>
      <c r="C82" s="1" t="s">
        <v>41</v>
      </c>
      <c r="D82" s="1" t="s">
        <v>207</v>
      </c>
      <c r="E82" s="50" t="str">
        <f>IF(C82="","",IFERROR(VLOOKUP(C82,Clientes!$C$2:$D$1000,2,FALSE),"Não definido"))</f>
        <v>Não</v>
      </c>
      <c r="F82" s="3" t="s">
        <v>151</v>
      </c>
      <c r="G82" s="3" t="s">
        <v>165</v>
      </c>
      <c r="H82" s="3">
        <v>8</v>
      </c>
      <c r="I82" s="3">
        <v>8</v>
      </c>
      <c r="J82" s="3">
        <f t="shared" si="7"/>
        <v>0</v>
      </c>
      <c r="K82" s="8">
        <f t="shared" si="6"/>
        <v>1</v>
      </c>
      <c r="L82" s="3" t="str">
        <f t="shared" si="4"/>
        <v>Concluído</v>
      </c>
      <c r="P82" s="51"/>
    </row>
    <row r="83" spans="1:16" ht="31.5" x14ac:dyDescent="0.25">
      <c r="A83" s="7">
        <v>46268</v>
      </c>
      <c r="B83" s="7" t="str">
        <f t="shared" si="8"/>
        <v>Setembro</v>
      </c>
      <c r="C83" s="1" t="s">
        <v>41</v>
      </c>
      <c r="D83" s="1" t="s">
        <v>207</v>
      </c>
      <c r="E83" s="50" t="str">
        <f>IF(C83="","",IFERROR(VLOOKUP(C83,Clientes!$C$2:$D$1000,2,FALSE),"Não definido"))</f>
        <v>Não</v>
      </c>
      <c r="F83" s="3" t="s">
        <v>107</v>
      </c>
      <c r="G83" s="11" t="s">
        <v>166</v>
      </c>
      <c r="H83" s="3">
        <v>8</v>
      </c>
      <c r="I83" s="3">
        <v>8</v>
      </c>
      <c r="J83" s="3">
        <f t="shared" si="7"/>
        <v>0</v>
      </c>
      <c r="K83" s="8">
        <f t="shared" si="6"/>
        <v>1</v>
      </c>
      <c r="L83" s="3" t="str">
        <f t="shared" si="4"/>
        <v>Concluído</v>
      </c>
      <c r="P83" s="51"/>
    </row>
    <row r="84" spans="1:16" x14ac:dyDescent="0.25">
      <c r="A84" s="7">
        <v>46268</v>
      </c>
      <c r="B84" s="7" t="str">
        <f t="shared" si="8"/>
        <v>Setembro</v>
      </c>
      <c r="C84" s="1" t="s">
        <v>41</v>
      </c>
      <c r="D84" s="1" t="s">
        <v>207</v>
      </c>
      <c r="E84" s="50" t="str">
        <f>IF(C84="","",IFERROR(VLOOKUP(C84,Clientes!$C$2:$D$1000,2,FALSE),"Não definido"))</f>
        <v>Não</v>
      </c>
      <c r="F84" s="3" t="s">
        <v>167</v>
      </c>
      <c r="G84" s="3" t="s">
        <v>168</v>
      </c>
      <c r="H84" s="3">
        <v>8</v>
      </c>
      <c r="I84" s="3">
        <v>8</v>
      </c>
      <c r="J84" s="3">
        <f t="shared" si="7"/>
        <v>0</v>
      </c>
      <c r="K84" s="8">
        <f t="shared" si="6"/>
        <v>1</v>
      </c>
      <c r="L84" s="3" t="str">
        <f t="shared" si="4"/>
        <v>Concluído</v>
      </c>
      <c r="P84" s="51"/>
    </row>
    <row r="85" spans="1:16" x14ac:dyDescent="0.25">
      <c r="A85" s="7">
        <v>46268</v>
      </c>
      <c r="B85" s="7" t="str">
        <f t="shared" si="8"/>
        <v>Setembro</v>
      </c>
      <c r="C85" s="1" t="s">
        <v>41</v>
      </c>
      <c r="D85" s="1" t="s">
        <v>207</v>
      </c>
      <c r="E85" s="50" t="str">
        <f>IF(C85="","",IFERROR(VLOOKUP(C85,Clientes!$C$2:$D$1000,2,FALSE),"Não definido"))</f>
        <v>Não</v>
      </c>
      <c r="F85" s="3" t="s">
        <v>113</v>
      </c>
      <c r="G85" s="3" t="s">
        <v>169</v>
      </c>
      <c r="H85" s="3">
        <v>8</v>
      </c>
      <c r="I85" s="3">
        <v>8</v>
      </c>
      <c r="J85" s="3">
        <f t="shared" si="7"/>
        <v>0</v>
      </c>
      <c r="K85" s="8">
        <f t="shared" si="6"/>
        <v>1</v>
      </c>
      <c r="L85" s="3" t="str">
        <f t="shared" si="4"/>
        <v>Concluído</v>
      </c>
      <c r="P85" s="51"/>
    </row>
    <row r="86" spans="1:16" x14ac:dyDescent="0.25">
      <c r="A86" s="7">
        <v>46268</v>
      </c>
      <c r="B86" s="7" t="str">
        <f t="shared" si="8"/>
        <v>Setembro</v>
      </c>
      <c r="C86" s="1" t="s">
        <v>41</v>
      </c>
      <c r="D86" s="1" t="s">
        <v>207</v>
      </c>
      <c r="E86" s="50" t="str">
        <f>IF(C86="","",IFERROR(VLOOKUP(C86,Clientes!$C$2:$D$1000,2,FALSE),"Não definido"))</f>
        <v>Não</v>
      </c>
      <c r="F86" s="3" t="s">
        <v>83</v>
      </c>
      <c r="G86" s="3" t="s">
        <v>170</v>
      </c>
      <c r="H86" s="3">
        <v>4</v>
      </c>
      <c r="I86" s="3">
        <v>4</v>
      </c>
      <c r="J86" s="3">
        <f t="shared" si="7"/>
        <v>0</v>
      </c>
      <c r="K86" s="8">
        <f t="shared" si="6"/>
        <v>1</v>
      </c>
      <c r="L86" s="3" t="str">
        <f t="shared" si="4"/>
        <v>Concluído</v>
      </c>
      <c r="P86" s="51"/>
    </row>
    <row r="87" spans="1:16" x14ac:dyDescent="0.25">
      <c r="A87" s="7">
        <v>46268</v>
      </c>
      <c r="B87" s="7" t="str">
        <f t="shared" si="8"/>
        <v>Setembro</v>
      </c>
      <c r="C87" s="1" t="s">
        <v>160</v>
      </c>
      <c r="E87" s="50" t="str">
        <f>IF(C87="","",IFERROR(VLOOKUP(C87,Clientes!$C$2:$D$1000,2,FALSE),"Não definido"))</f>
        <v>Sim</v>
      </c>
      <c r="F87" s="3" t="s">
        <v>83</v>
      </c>
      <c r="G87" s="3" t="s">
        <v>171</v>
      </c>
      <c r="H87" s="3">
        <v>4</v>
      </c>
      <c r="I87" s="3">
        <v>4</v>
      </c>
      <c r="J87" s="3">
        <f t="shared" si="7"/>
        <v>0</v>
      </c>
      <c r="K87" s="8">
        <f t="shared" si="6"/>
        <v>1</v>
      </c>
      <c r="L87" s="3" t="str">
        <f t="shared" si="4"/>
        <v>Concluído</v>
      </c>
      <c r="P87" s="51"/>
    </row>
    <row r="88" spans="1:16" s="62" customFormat="1" x14ac:dyDescent="0.25">
      <c r="A88" s="61">
        <v>46269</v>
      </c>
      <c r="B88" s="61" t="str">
        <f t="shared" si="8"/>
        <v>Setembro</v>
      </c>
      <c r="C88" s="1" t="s">
        <v>160</v>
      </c>
      <c r="D88" s="64"/>
      <c r="E88" s="50" t="str">
        <f>IF(C88="","",IFERROR(VLOOKUP(C88,Clientes!$C$2:$D$1000,2,FALSE),"Não definido"))</f>
        <v>Sim</v>
      </c>
      <c r="F88" s="62" t="s">
        <v>208</v>
      </c>
      <c r="G88" s="62" t="s">
        <v>18</v>
      </c>
      <c r="H88" s="62">
        <v>8</v>
      </c>
      <c r="I88" s="62">
        <v>8</v>
      </c>
      <c r="J88" s="3">
        <f t="shared" si="7"/>
        <v>0</v>
      </c>
      <c r="K88" s="63">
        <f t="shared" si="6"/>
        <v>1</v>
      </c>
      <c r="L88" s="62" t="str">
        <f t="shared" si="4"/>
        <v>Concluído</v>
      </c>
      <c r="P88" s="51"/>
    </row>
    <row r="89" spans="1:16" s="62" customFormat="1" x14ac:dyDescent="0.25">
      <c r="A89" s="61">
        <v>46269</v>
      </c>
      <c r="B89" s="61" t="str">
        <f t="shared" si="8"/>
        <v>Setembro</v>
      </c>
      <c r="C89" s="62" t="s">
        <v>19</v>
      </c>
      <c r="D89" s="64"/>
      <c r="E89" s="50" t="str">
        <f>IF(C89="","",IFERROR(VLOOKUP(C89,Clientes!$C$2:$D$1000,2,FALSE),"Não definido"))</f>
        <v>Sim</v>
      </c>
      <c r="F89" s="62" t="s">
        <v>56</v>
      </c>
      <c r="G89" s="62" t="s">
        <v>18</v>
      </c>
      <c r="H89" s="62">
        <v>8</v>
      </c>
      <c r="I89" s="62">
        <v>8</v>
      </c>
      <c r="J89" s="3">
        <f t="shared" si="7"/>
        <v>0</v>
      </c>
      <c r="K89" s="63">
        <f t="shared" si="6"/>
        <v>1</v>
      </c>
      <c r="L89" s="62" t="str">
        <f t="shared" si="4"/>
        <v>Concluído</v>
      </c>
      <c r="P89" s="51"/>
    </row>
    <row r="90" spans="1:16" s="62" customFormat="1" x14ac:dyDescent="0.25">
      <c r="A90" s="61">
        <v>46269</v>
      </c>
      <c r="B90" s="61" t="str">
        <f t="shared" si="8"/>
        <v>Setembro</v>
      </c>
      <c r="C90" s="64" t="s">
        <v>16</v>
      </c>
      <c r="D90" s="64"/>
      <c r="E90" s="50" t="str">
        <f>IF(C90="","",IFERROR(VLOOKUP(C90,Clientes!$C$2:$D$1000,2,FALSE),"Não definido"))</f>
        <v>Não</v>
      </c>
      <c r="F90" s="62" t="s">
        <v>151</v>
      </c>
      <c r="G90" s="62" t="s">
        <v>209</v>
      </c>
      <c r="H90" s="62">
        <v>8</v>
      </c>
      <c r="I90" s="62">
        <v>8</v>
      </c>
      <c r="J90" s="3">
        <f t="shared" si="7"/>
        <v>0</v>
      </c>
      <c r="K90" s="63">
        <f t="shared" si="6"/>
        <v>1</v>
      </c>
      <c r="L90" s="62" t="str">
        <f t="shared" si="4"/>
        <v>Concluído</v>
      </c>
      <c r="P90" s="51"/>
    </row>
    <row r="91" spans="1:16" s="62" customFormat="1" x14ac:dyDescent="0.25">
      <c r="A91" s="61">
        <v>46269</v>
      </c>
      <c r="B91" s="61" t="str">
        <f t="shared" si="8"/>
        <v>Setembro</v>
      </c>
      <c r="C91" s="64" t="s">
        <v>41</v>
      </c>
      <c r="D91" s="1" t="s">
        <v>207</v>
      </c>
      <c r="E91" s="50" t="str">
        <f>IF(C91="","",IFERROR(VLOOKUP(C91,Clientes!$C$2:$D$1000,2,FALSE),"Não definido"))</f>
        <v>Não</v>
      </c>
      <c r="F91" s="65" t="s">
        <v>86</v>
      </c>
      <c r="G91" s="62" t="s">
        <v>210</v>
      </c>
      <c r="H91" s="62">
        <v>8</v>
      </c>
      <c r="I91" s="62">
        <v>8</v>
      </c>
      <c r="J91" s="3">
        <f t="shared" si="7"/>
        <v>0</v>
      </c>
      <c r="K91" s="63">
        <f t="shared" si="6"/>
        <v>1</v>
      </c>
      <c r="L91" s="62" t="str">
        <f t="shared" si="4"/>
        <v>Concluído</v>
      </c>
      <c r="P91" s="51"/>
    </row>
    <row r="92" spans="1:16" s="62" customFormat="1" x14ac:dyDescent="0.25">
      <c r="A92" s="61">
        <v>46269</v>
      </c>
      <c r="B92" s="61" t="str">
        <f t="shared" si="8"/>
        <v>Setembro</v>
      </c>
      <c r="C92" s="64" t="s">
        <v>41</v>
      </c>
      <c r="D92" s="1" t="s">
        <v>207</v>
      </c>
      <c r="E92" s="50" t="str">
        <f>IF(C92="","",IFERROR(VLOOKUP(C92,Clientes!$C$2:$D$1000,2,FALSE),"Não definido"))</f>
        <v>Não</v>
      </c>
      <c r="F92" s="62" t="s">
        <v>94</v>
      </c>
      <c r="G92" s="62" t="s">
        <v>211</v>
      </c>
      <c r="H92" s="62">
        <v>8</v>
      </c>
      <c r="I92" s="62">
        <v>8</v>
      </c>
      <c r="J92" s="3">
        <f t="shared" si="7"/>
        <v>0</v>
      </c>
      <c r="K92" s="63">
        <f t="shared" si="6"/>
        <v>1</v>
      </c>
      <c r="L92" s="62" t="str">
        <f t="shared" si="4"/>
        <v>Concluído</v>
      </c>
      <c r="P92" s="51"/>
    </row>
    <row r="93" spans="1:16" s="62" customFormat="1" x14ac:dyDescent="0.25">
      <c r="A93" s="61">
        <v>46269</v>
      </c>
      <c r="B93" s="61" t="str">
        <f t="shared" si="8"/>
        <v>Setembro</v>
      </c>
      <c r="C93" s="64" t="s">
        <v>41</v>
      </c>
      <c r="D93" s="1" t="s">
        <v>207</v>
      </c>
      <c r="E93" s="50" t="str">
        <f>IF(C93="","",IFERROR(VLOOKUP(C93,Clientes!$C$2:$D$1000,2,FALSE),"Não definido"))</f>
        <v>Não</v>
      </c>
      <c r="F93" s="62" t="s">
        <v>146</v>
      </c>
      <c r="G93" s="62" t="s">
        <v>212</v>
      </c>
      <c r="H93" s="62">
        <v>8</v>
      </c>
      <c r="I93" s="62">
        <v>8</v>
      </c>
      <c r="J93" s="3">
        <f t="shared" si="7"/>
        <v>0</v>
      </c>
      <c r="K93" s="63">
        <f t="shared" si="6"/>
        <v>1</v>
      </c>
      <c r="L93" s="62" t="str">
        <f t="shared" si="4"/>
        <v>Concluído</v>
      </c>
      <c r="P93" s="51"/>
    </row>
    <row r="94" spans="1:16" x14ac:dyDescent="0.25">
      <c r="A94" s="7">
        <v>46274</v>
      </c>
      <c r="B94" s="7" t="str">
        <f t="shared" si="8"/>
        <v>Setembro</v>
      </c>
      <c r="C94" s="64" t="s">
        <v>16</v>
      </c>
      <c r="E94" s="50" t="str">
        <f>IF(C94="","",IFERROR(VLOOKUP(C94,Clientes!$C$2:$D$1000,2,FALSE),"Não definido"))</f>
        <v>Não</v>
      </c>
      <c r="F94" s="3" t="s">
        <v>56</v>
      </c>
      <c r="G94" s="3" t="s">
        <v>213</v>
      </c>
      <c r="H94" s="62">
        <v>8</v>
      </c>
      <c r="I94" s="62">
        <v>8</v>
      </c>
      <c r="J94" s="3">
        <f t="shared" si="7"/>
        <v>0</v>
      </c>
      <c r="K94" s="8">
        <f t="shared" si="6"/>
        <v>1</v>
      </c>
      <c r="L94" s="3" t="str">
        <f>IF(A73="","",IF(OR(I73="",I73=0),"Não executado",IF(K73&gt;=1,"Concluído",IF(K73&gt;=0.8,"Parcial","Não executado"))))</f>
        <v>Concluído</v>
      </c>
      <c r="P94" s="51"/>
    </row>
    <row r="95" spans="1:16" x14ac:dyDescent="0.25">
      <c r="A95" s="7">
        <v>46274</v>
      </c>
      <c r="B95" s="7" t="str">
        <f t="shared" si="8"/>
        <v>Setembro</v>
      </c>
      <c r="C95" s="64" t="s">
        <v>41</v>
      </c>
      <c r="D95" s="1" t="s">
        <v>207</v>
      </c>
      <c r="E95" s="50" t="str">
        <f>IF(C95="","",IFERROR(VLOOKUP(C95,Clientes!$C$2:$D$1000,2,FALSE),"Não definido"))</f>
        <v>Não</v>
      </c>
      <c r="F95" s="65" t="s">
        <v>86</v>
      </c>
      <c r="G95" s="62" t="s">
        <v>210</v>
      </c>
      <c r="H95" s="62">
        <v>8</v>
      </c>
      <c r="I95" s="62">
        <v>8</v>
      </c>
      <c r="J95" s="3">
        <f t="shared" si="7"/>
        <v>0</v>
      </c>
      <c r="K95" s="8">
        <f t="shared" si="6"/>
        <v>1</v>
      </c>
      <c r="L95" s="3" t="str">
        <f>IF(A73="","",IF(K73="","Não executado",IF(K73&gt;=1,"Concluído",IF(K73&gt;=0.8,"Parcial","Não executado"))))</f>
        <v>Concluído</v>
      </c>
      <c r="P95" s="51"/>
    </row>
    <row r="96" spans="1:16" x14ac:dyDescent="0.25">
      <c r="A96" s="7">
        <v>46274</v>
      </c>
      <c r="B96" s="7" t="str">
        <f t="shared" si="8"/>
        <v>Setembro</v>
      </c>
      <c r="C96" s="64" t="s">
        <v>41</v>
      </c>
      <c r="D96" s="1" t="s">
        <v>207</v>
      </c>
      <c r="E96" s="50" t="str">
        <f>IF(C96="","",IFERROR(VLOOKUP(C96,Clientes!$C$2:$D$1000,2,FALSE),"Não definido"))</f>
        <v>Não</v>
      </c>
      <c r="F96" s="3" t="s">
        <v>17</v>
      </c>
      <c r="G96" s="3" t="s">
        <v>214</v>
      </c>
      <c r="H96" s="62">
        <v>8</v>
      </c>
      <c r="I96" s="62">
        <v>8</v>
      </c>
      <c r="J96" s="3">
        <f t="shared" si="7"/>
        <v>0</v>
      </c>
      <c r="K96" s="8">
        <f t="shared" si="6"/>
        <v>1</v>
      </c>
      <c r="L96" s="3" t="str">
        <f t="shared" ref="L96:L159" si="9">IF(A96="","",IF(K96&gt;=1,"Concluído",IF(K96&gt;=0.8,"Parcial","Não executado")))</f>
        <v>Concluído</v>
      </c>
      <c r="P96" s="51"/>
    </row>
    <row r="97" spans="1:16" x14ac:dyDescent="0.25">
      <c r="A97" s="7">
        <v>46274</v>
      </c>
      <c r="B97" s="7" t="str">
        <f t="shared" si="8"/>
        <v>Setembro</v>
      </c>
      <c r="C97" s="64" t="s">
        <v>41</v>
      </c>
      <c r="D97" s="1" t="s">
        <v>207</v>
      </c>
      <c r="E97" s="50" t="str">
        <f>IF(C97="","",IFERROR(VLOOKUP(C97,Clientes!$C$2:$D$1000,2,FALSE),"Não definido"))</f>
        <v>Não</v>
      </c>
      <c r="F97" s="3" t="s">
        <v>39</v>
      </c>
      <c r="G97" s="3" t="s">
        <v>215</v>
      </c>
      <c r="H97" s="62">
        <v>8</v>
      </c>
      <c r="I97" s="62">
        <v>8</v>
      </c>
      <c r="J97" s="3">
        <f t="shared" si="7"/>
        <v>0</v>
      </c>
      <c r="K97" s="8">
        <f t="shared" si="6"/>
        <v>1</v>
      </c>
      <c r="L97" s="3" t="str">
        <f t="shared" si="9"/>
        <v>Concluído</v>
      </c>
      <c r="P97" s="51"/>
    </row>
    <row r="98" spans="1:16" x14ac:dyDescent="0.25">
      <c r="A98" s="7">
        <v>46274</v>
      </c>
      <c r="B98" s="7" t="str">
        <f t="shared" si="8"/>
        <v>Setembro</v>
      </c>
      <c r="C98" s="64" t="s">
        <v>41</v>
      </c>
      <c r="D98" s="1" t="s">
        <v>207</v>
      </c>
      <c r="E98" s="50" t="str">
        <f>IF(C98="","",IFERROR(VLOOKUP(C98,Clientes!$C$2:$D$1000,2,FALSE),"Não definido"))</f>
        <v>Não</v>
      </c>
      <c r="F98" s="3" t="s">
        <v>216</v>
      </c>
      <c r="G98" s="3" t="s">
        <v>217</v>
      </c>
      <c r="H98" s="62">
        <v>8</v>
      </c>
      <c r="I98" s="3">
        <v>0</v>
      </c>
      <c r="J98" s="3">
        <f t="shared" si="7"/>
        <v>-8</v>
      </c>
      <c r="K98" s="8">
        <f t="shared" si="6"/>
        <v>0</v>
      </c>
      <c r="L98" s="3" t="str">
        <f t="shared" si="9"/>
        <v>Não executado</v>
      </c>
      <c r="O98" s="3" t="s">
        <v>218</v>
      </c>
      <c r="P98" s="51"/>
    </row>
    <row r="99" spans="1:16" x14ac:dyDescent="0.25">
      <c r="A99" s="7">
        <v>46275</v>
      </c>
      <c r="B99" s="7" t="str">
        <f t="shared" si="8"/>
        <v>Setembro</v>
      </c>
      <c r="C99" s="64" t="s">
        <v>16</v>
      </c>
      <c r="E99" s="50" t="str">
        <f>IF(C99="","",IFERROR(VLOOKUP(C99,Clientes!$C$2:$D$1000,2,FALSE),"Não definido"))</f>
        <v>Não</v>
      </c>
      <c r="F99" s="3" t="s">
        <v>56</v>
      </c>
      <c r="G99" s="3" t="s">
        <v>219</v>
      </c>
      <c r="H99" s="62">
        <v>8</v>
      </c>
      <c r="I99" s="62">
        <v>8</v>
      </c>
      <c r="J99" s="3">
        <f t="shared" si="7"/>
        <v>0</v>
      </c>
      <c r="K99" s="8">
        <f t="shared" si="6"/>
        <v>1</v>
      </c>
      <c r="L99" s="3" t="str">
        <f t="shared" si="9"/>
        <v>Concluído</v>
      </c>
      <c r="P99" s="51"/>
    </row>
    <row r="100" spans="1:16" x14ac:dyDescent="0.25">
      <c r="A100" s="7">
        <v>46275</v>
      </c>
      <c r="B100" s="7" t="str">
        <f t="shared" si="8"/>
        <v>Setembro</v>
      </c>
      <c r="C100" s="64" t="s">
        <v>41</v>
      </c>
      <c r="D100" s="1" t="s">
        <v>207</v>
      </c>
      <c r="E100" s="50" t="str">
        <f>IF(C100="","",IFERROR(VLOOKUP(C100,Clientes!$C$2:$D$1000,2,FALSE),"Não definido"))</f>
        <v>Não</v>
      </c>
      <c r="F100" s="65" t="s">
        <v>86</v>
      </c>
      <c r="G100" s="62" t="s">
        <v>210</v>
      </c>
      <c r="H100" s="62">
        <v>8</v>
      </c>
      <c r="I100" s="62">
        <v>8</v>
      </c>
      <c r="J100" s="3">
        <f t="shared" si="7"/>
        <v>0</v>
      </c>
      <c r="K100" s="8">
        <f t="shared" si="6"/>
        <v>1</v>
      </c>
      <c r="L100" s="3" t="str">
        <f t="shared" si="9"/>
        <v>Concluído</v>
      </c>
      <c r="P100" s="51"/>
    </row>
    <row r="101" spans="1:16" x14ac:dyDescent="0.25">
      <c r="A101" s="7">
        <v>46275</v>
      </c>
      <c r="B101" s="7" t="str">
        <f t="shared" si="8"/>
        <v>Setembro</v>
      </c>
      <c r="C101" s="64" t="s">
        <v>41</v>
      </c>
      <c r="D101" s="1" t="s">
        <v>207</v>
      </c>
      <c r="E101" s="50" t="str">
        <f>IF(C101="","",IFERROR(VLOOKUP(C101,Clientes!$C$2:$D$1000,2,FALSE),"Não definido"))</f>
        <v>Não</v>
      </c>
      <c r="F101" s="3" t="s">
        <v>39</v>
      </c>
      <c r="G101" s="3" t="s">
        <v>220</v>
      </c>
      <c r="H101" s="62">
        <v>4</v>
      </c>
      <c r="I101" s="62">
        <v>4</v>
      </c>
      <c r="J101" s="3">
        <f t="shared" si="7"/>
        <v>0</v>
      </c>
      <c r="K101" s="8">
        <f t="shared" si="6"/>
        <v>1</v>
      </c>
      <c r="L101" s="3" t="str">
        <f t="shared" si="9"/>
        <v>Concluído</v>
      </c>
      <c r="P101" s="51"/>
    </row>
    <row r="102" spans="1:16" x14ac:dyDescent="0.25">
      <c r="A102" s="7">
        <v>46275</v>
      </c>
      <c r="B102" s="7" t="str">
        <f t="shared" si="8"/>
        <v>Setembro</v>
      </c>
      <c r="C102" s="64" t="s">
        <v>41</v>
      </c>
      <c r="D102" s="1" t="s">
        <v>207</v>
      </c>
      <c r="E102" s="50" t="str">
        <f>IF(C102="","",IFERROR(VLOOKUP(C102,Clientes!$C$2:$D$1000,2,FALSE),"Não definido"))</f>
        <v>Não</v>
      </c>
      <c r="F102" s="3" t="s">
        <v>17</v>
      </c>
      <c r="G102" s="3" t="s">
        <v>221</v>
      </c>
      <c r="H102" s="62">
        <v>4</v>
      </c>
      <c r="I102" s="62">
        <v>4</v>
      </c>
      <c r="J102" s="3">
        <f t="shared" si="7"/>
        <v>0</v>
      </c>
      <c r="K102" s="8">
        <f t="shared" si="6"/>
        <v>1</v>
      </c>
      <c r="L102" s="3" t="str">
        <f t="shared" si="9"/>
        <v>Concluído</v>
      </c>
      <c r="P102" s="51"/>
    </row>
    <row r="103" spans="1:16" x14ac:dyDescent="0.25">
      <c r="A103" s="7">
        <v>46275</v>
      </c>
      <c r="B103" s="7" t="str">
        <f t="shared" si="8"/>
        <v>Setembro</v>
      </c>
      <c r="C103" s="1" t="s">
        <v>41</v>
      </c>
      <c r="D103" s="1" t="s">
        <v>207</v>
      </c>
      <c r="E103" s="50" t="str">
        <f>IF(C103="","",IFERROR(VLOOKUP(C103,Clientes!$C$2:$D$1000,2,FALSE),"Não definido"))</f>
        <v>Não</v>
      </c>
      <c r="F103" s="3" t="s">
        <v>222</v>
      </c>
      <c r="G103" s="3" t="s">
        <v>223</v>
      </c>
      <c r="H103" s="3">
        <v>8</v>
      </c>
      <c r="I103" s="3">
        <v>8</v>
      </c>
      <c r="J103" s="3">
        <f t="shared" si="7"/>
        <v>0</v>
      </c>
      <c r="K103" s="8">
        <f t="shared" si="6"/>
        <v>1</v>
      </c>
      <c r="L103" s="3" t="str">
        <f>IF(A103="","",IF(K103&gt;=1,"Concluído",IF(K103&gt;=0.8,"Parcial","Não executado")))</f>
        <v>Concluído</v>
      </c>
      <c r="P103" s="51"/>
    </row>
    <row r="104" spans="1:16" x14ac:dyDescent="0.25">
      <c r="A104" s="7">
        <v>46276</v>
      </c>
      <c r="B104" s="7" t="str">
        <f t="shared" si="8"/>
        <v>Setembro</v>
      </c>
      <c r="C104" s="64" t="s">
        <v>16</v>
      </c>
      <c r="E104" s="50" t="str">
        <f>IF(C104="","",IFERROR(VLOOKUP(C104,Clientes!$C$2:$D$1000,2,FALSE),"Não definido"))</f>
        <v>Não</v>
      </c>
      <c r="F104" s="3" t="s">
        <v>224</v>
      </c>
      <c r="G104" s="3" t="s">
        <v>226</v>
      </c>
      <c r="H104" s="3">
        <v>8</v>
      </c>
      <c r="I104" s="3">
        <v>8</v>
      </c>
      <c r="J104" s="3">
        <f t="shared" si="7"/>
        <v>0</v>
      </c>
      <c r="K104" s="8">
        <f t="shared" si="6"/>
        <v>1</v>
      </c>
      <c r="L104" s="3" t="str">
        <f>IF(A104="","",IF(K104&gt;=1,"Concluído",IF(K104&gt;=0.8,"Parcial","Não executado")))</f>
        <v>Concluído</v>
      </c>
      <c r="P104" s="51"/>
    </row>
    <row r="105" spans="1:16" x14ac:dyDescent="0.25">
      <c r="A105" s="7">
        <v>46276</v>
      </c>
      <c r="B105" s="7" t="str">
        <f t="shared" ref="B105" si="10">IF(A105="","",PROPER(TEXT(A105,"mmmm")))</f>
        <v>Setembro</v>
      </c>
      <c r="C105" s="64" t="s">
        <v>16</v>
      </c>
      <c r="E105" s="50" t="str">
        <f>IF(C105="","",IFERROR(VLOOKUP(C105,Clientes!$C$2:$D$1000,2,FALSE),"Não definido"))</f>
        <v>Não</v>
      </c>
      <c r="F105" s="3" t="s">
        <v>225</v>
      </c>
      <c r="G105" s="3" t="s">
        <v>227</v>
      </c>
      <c r="H105" s="3">
        <v>8</v>
      </c>
      <c r="I105" s="3">
        <v>8</v>
      </c>
      <c r="J105" s="3">
        <f t="shared" si="7"/>
        <v>0</v>
      </c>
      <c r="K105" s="8">
        <f t="shared" si="6"/>
        <v>1</v>
      </c>
      <c r="L105" s="3" t="str">
        <f t="shared" si="9"/>
        <v>Concluído</v>
      </c>
      <c r="P105" s="51"/>
    </row>
    <row r="106" spans="1:16" x14ac:dyDescent="0.25">
      <c r="A106" s="7">
        <v>46276</v>
      </c>
      <c r="B106" s="7" t="str">
        <f t="shared" si="8"/>
        <v>Setembro</v>
      </c>
      <c r="C106" s="1" t="s">
        <v>25</v>
      </c>
      <c r="E106" s="50" t="str">
        <f>IF(C106="","",IFERROR(VLOOKUP(C106,Clientes!$C$2:$D$1000,2,FALSE),"Não definido"))</f>
        <v>Sim</v>
      </c>
      <c r="F106" s="3" t="s">
        <v>228</v>
      </c>
      <c r="G106" s="3" t="s">
        <v>229</v>
      </c>
      <c r="H106" s="3">
        <v>4</v>
      </c>
      <c r="I106" s="3">
        <v>4</v>
      </c>
      <c r="J106" s="3">
        <f t="shared" si="7"/>
        <v>0</v>
      </c>
      <c r="K106" s="8">
        <f t="shared" si="6"/>
        <v>1</v>
      </c>
      <c r="L106" s="3" t="str">
        <f t="shared" si="9"/>
        <v>Concluído</v>
      </c>
      <c r="P106" s="51"/>
    </row>
    <row r="107" spans="1:16" x14ac:dyDescent="0.25">
      <c r="A107" s="7">
        <v>46276</v>
      </c>
      <c r="B107" s="7" t="str">
        <f t="shared" si="8"/>
        <v>Setembro</v>
      </c>
      <c r="C107" s="1" t="s">
        <v>31</v>
      </c>
      <c r="E107" s="50" t="str">
        <f>IF(C107="","",IFERROR(VLOOKUP(C107,Clientes!$C$2:$D$1000,2,FALSE),"Não definido"))</f>
        <v>Sim</v>
      </c>
      <c r="F107" s="3" t="s">
        <v>228</v>
      </c>
      <c r="G107" s="3" t="s">
        <v>229</v>
      </c>
      <c r="H107" s="3">
        <v>2</v>
      </c>
      <c r="I107" s="3">
        <v>2</v>
      </c>
      <c r="J107" s="3">
        <f t="shared" si="7"/>
        <v>0</v>
      </c>
      <c r="K107" s="8">
        <f t="shared" si="6"/>
        <v>1</v>
      </c>
      <c r="L107" s="3" t="str">
        <f t="shared" si="9"/>
        <v>Concluído</v>
      </c>
      <c r="P107" s="51"/>
    </row>
    <row r="108" spans="1:16" x14ac:dyDescent="0.25">
      <c r="A108" s="7">
        <v>46276</v>
      </c>
      <c r="B108" s="7" t="str">
        <f t="shared" si="8"/>
        <v>Setembro</v>
      </c>
      <c r="C108" s="1" t="s">
        <v>22</v>
      </c>
      <c r="E108" s="50" t="str">
        <f>IF(C108="","",IFERROR(VLOOKUP(C108,Clientes!$C$2:$D$1000,2,FALSE),"Não definido"))</f>
        <v>Sim</v>
      </c>
      <c r="F108" s="3" t="s">
        <v>228</v>
      </c>
      <c r="G108" s="3" t="s">
        <v>229</v>
      </c>
      <c r="H108" s="3">
        <v>2</v>
      </c>
      <c r="I108" s="3">
        <v>2</v>
      </c>
      <c r="J108" s="3">
        <f t="shared" si="7"/>
        <v>0</v>
      </c>
      <c r="K108" s="8">
        <f t="shared" si="6"/>
        <v>1</v>
      </c>
      <c r="L108" s="3" t="str">
        <f t="shared" si="9"/>
        <v>Concluído</v>
      </c>
      <c r="P108" s="51"/>
    </row>
    <row r="109" spans="1:16" x14ac:dyDescent="0.25">
      <c r="A109" s="7">
        <v>46276</v>
      </c>
      <c r="B109" s="7" t="str">
        <f t="shared" si="8"/>
        <v>Setembro</v>
      </c>
      <c r="C109" s="64" t="s">
        <v>41</v>
      </c>
      <c r="D109" s="1" t="s">
        <v>207</v>
      </c>
      <c r="E109" s="50" t="str">
        <f>IF(C109="","",IFERROR(VLOOKUP(C109,Clientes!$C$2:$D$1000,2,FALSE),"Não definido"))</f>
        <v>Não</v>
      </c>
      <c r="F109" s="65" t="s">
        <v>86</v>
      </c>
      <c r="G109" s="62" t="s">
        <v>210</v>
      </c>
      <c r="H109" s="3">
        <v>8</v>
      </c>
      <c r="I109" s="3">
        <v>8</v>
      </c>
      <c r="J109" s="3">
        <f t="shared" si="7"/>
        <v>0</v>
      </c>
      <c r="K109" s="8">
        <f t="shared" si="6"/>
        <v>1</v>
      </c>
      <c r="L109" s="3" t="str">
        <f t="shared" si="9"/>
        <v>Concluído</v>
      </c>
      <c r="P109" s="51"/>
    </row>
    <row r="110" spans="1:16" x14ac:dyDescent="0.25">
      <c r="A110" s="7">
        <v>46276</v>
      </c>
      <c r="B110" s="7" t="str">
        <f t="shared" si="8"/>
        <v>Setembro</v>
      </c>
      <c r="C110" s="1" t="s">
        <v>41</v>
      </c>
      <c r="D110" s="1" t="s">
        <v>207</v>
      </c>
      <c r="E110" s="50" t="str">
        <f>IF(C110="","",IFERROR(VLOOKUP(C110,Clientes!$C$2:$D$1000,2,FALSE),"Não definido"))</f>
        <v>Não</v>
      </c>
      <c r="F110" s="3" t="s">
        <v>17</v>
      </c>
      <c r="G110" s="3" t="s">
        <v>230</v>
      </c>
      <c r="H110" s="3">
        <v>8</v>
      </c>
      <c r="I110" s="3">
        <v>8</v>
      </c>
      <c r="J110" s="3">
        <f t="shared" si="7"/>
        <v>0</v>
      </c>
      <c r="K110" s="8">
        <f t="shared" si="6"/>
        <v>1</v>
      </c>
      <c r="L110" s="3" t="str">
        <f t="shared" si="9"/>
        <v>Concluído</v>
      </c>
      <c r="P110" s="51"/>
    </row>
    <row r="111" spans="1:16" x14ac:dyDescent="0.25">
      <c r="A111" s="7">
        <v>46276</v>
      </c>
      <c r="B111" s="7" t="str">
        <f t="shared" si="8"/>
        <v>Setembro</v>
      </c>
      <c r="C111" s="1" t="s">
        <v>41</v>
      </c>
      <c r="E111" s="50" t="str">
        <f>IF(C111="","",IFERROR(VLOOKUP(C111,Clientes!$C$2:$D$1000,2,FALSE),"Não definido"))</f>
        <v>Não</v>
      </c>
      <c r="F111" s="3" t="s">
        <v>231</v>
      </c>
      <c r="G111" s="3" t="s">
        <v>232</v>
      </c>
      <c r="H111" s="3">
        <v>8</v>
      </c>
      <c r="I111" s="3">
        <v>8</v>
      </c>
      <c r="J111" s="3">
        <f t="shared" si="7"/>
        <v>0</v>
      </c>
      <c r="K111" s="8">
        <f t="shared" si="6"/>
        <v>1</v>
      </c>
      <c r="L111" s="3" t="str">
        <f t="shared" si="9"/>
        <v>Concluído</v>
      </c>
      <c r="P111" s="51"/>
    </row>
    <row r="112" spans="1:16" x14ac:dyDescent="0.25">
      <c r="B112" s="7" t="str">
        <f t="shared" si="8"/>
        <v/>
      </c>
      <c r="E112" s="50" t="str">
        <f>IF(C112="","",IFERROR(VLOOKUP(C112,Clientes!$C$2:$D$1000,2,FALSE),"Não definido"))</f>
        <v/>
      </c>
      <c r="K112" s="8" t="str">
        <f t="shared" si="6"/>
        <v/>
      </c>
      <c r="L112" s="3" t="str">
        <f t="shared" si="9"/>
        <v/>
      </c>
      <c r="P112" s="51"/>
    </row>
    <row r="113" spans="2:16" x14ac:dyDescent="0.25">
      <c r="B113" s="7" t="str">
        <f t="shared" si="8"/>
        <v/>
      </c>
      <c r="E113" s="50" t="str">
        <f>IF(C113="","",IFERROR(VLOOKUP(C113,Clientes!$C$2:$D$1000,2,FALSE),"Não definido"))</f>
        <v/>
      </c>
      <c r="K113" s="8" t="str">
        <f t="shared" si="6"/>
        <v/>
      </c>
      <c r="L113" s="3" t="str">
        <f t="shared" si="9"/>
        <v/>
      </c>
      <c r="P113" s="51"/>
    </row>
    <row r="114" spans="2:16" x14ac:dyDescent="0.25">
      <c r="B114" s="7" t="str">
        <f t="shared" si="8"/>
        <v/>
      </c>
      <c r="E114" s="50" t="str">
        <f>IF(C114="","",IFERROR(VLOOKUP(C114,Clientes!$C$2:$D$1000,2,FALSE),"Não definido"))</f>
        <v/>
      </c>
      <c r="K114" s="8" t="str">
        <f t="shared" si="6"/>
        <v/>
      </c>
      <c r="L114" s="3" t="str">
        <f t="shared" si="9"/>
        <v/>
      </c>
      <c r="P114" s="51"/>
    </row>
    <row r="115" spans="2:16" x14ac:dyDescent="0.25">
      <c r="B115" s="7" t="str">
        <f t="shared" si="8"/>
        <v/>
      </c>
      <c r="E115" s="50" t="str">
        <f>IF(C115="","",IFERROR(VLOOKUP(C115,Clientes!$C$2:$D$1000,2,FALSE),"Não definido"))</f>
        <v/>
      </c>
      <c r="K115" s="8" t="str">
        <f t="shared" si="6"/>
        <v/>
      </c>
      <c r="L115" s="3" t="str">
        <f t="shared" si="9"/>
        <v/>
      </c>
      <c r="P115" s="51"/>
    </row>
    <row r="116" spans="2:16" x14ac:dyDescent="0.25">
      <c r="B116" s="7" t="str">
        <f t="shared" si="8"/>
        <v/>
      </c>
      <c r="E116" s="50" t="str">
        <f>IF(C116="","",IFERROR(VLOOKUP(C116,Clientes!$C$2:$D$1000,2,FALSE),"Não definido"))</f>
        <v/>
      </c>
      <c r="K116" s="8" t="str">
        <f t="shared" si="6"/>
        <v/>
      </c>
      <c r="L116" s="3" t="str">
        <f t="shared" si="9"/>
        <v/>
      </c>
      <c r="P116" s="51"/>
    </row>
    <row r="117" spans="2:16" x14ac:dyDescent="0.25">
      <c r="B117" s="7" t="str">
        <f t="shared" si="8"/>
        <v/>
      </c>
      <c r="E117" s="50" t="str">
        <f>IF(C117="","",IFERROR(VLOOKUP(C117,Clientes!$C$2:$D$1000,2,FALSE),"Não definido"))</f>
        <v/>
      </c>
      <c r="K117" s="8" t="str">
        <f t="shared" si="6"/>
        <v/>
      </c>
      <c r="L117" s="3" t="str">
        <f t="shared" si="9"/>
        <v/>
      </c>
      <c r="P117" s="51"/>
    </row>
    <row r="118" spans="2:16" x14ac:dyDescent="0.25">
      <c r="B118" s="7" t="str">
        <f t="shared" si="8"/>
        <v/>
      </c>
      <c r="E118" s="50" t="str">
        <f>IF(C118="","",IFERROR(VLOOKUP(C118,Clientes!$C$2:$D$1000,2,FALSE),"Não definido"))</f>
        <v/>
      </c>
      <c r="K118" s="8" t="str">
        <f t="shared" si="6"/>
        <v/>
      </c>
      <c r="L118" s="3" t="str">
        <f t="shared" si="9"/>
        <v/>
      </c>
      <c r="P118" s="51"/>
    </row>
    <row r="119" spans="2:16" x14ac:dyDescent="0.25">
      <c r="B119" s="7" t="str">
        <f t="shared" si="8"/>
        <v/>
      </c>
      <c r="E119" s="50" t="str">
        <f>IF(C119="","",IFERROR(VLOOKUP(C119,Clientes!$C$2:$D$1000,2,FALSE),"Não definido"))</f>
        <v/>
      </c>
      <c r="K119" s="8" t="str">
        <f t="shared" si="6"/>
        <v/>
      </c>
      <c r="L119" s="3" t="str">
        <f t="shared" si="9"/>
        <v/>
      </c>
      <c r="P119" s="51"/>
    </row>
    <row r="120" spans="2:16" x14ac:dyDescent="0.25">
      <c r="B120" s="7" t="str">
        <f t="shared" si="8"/>
        <v/>
      </c>
      <c r="E120" s="50" t="str">
        <f>IF(C120="","",IFERROR(VLOOKUP(C120,Clientes!$C$2:$D$1000,2,FALSE),"Não definido"))</f>
        <v/>
      </c>
      <c r="K120" s="8" t="str">
        <f t="shared" si="6"/>
        <v/>
      </c>
      <c r="L120" s="3" t="str">
        <f t="shared" si="9"/>
        <v/>
      </c>
      <c r="P120" s="51"/>
    </row>
    <row r="121" spans="2:16" x14ac:dyDescent="0.25">
      <c r="B121" s="7" t="str">
        <f t="shared" si="8"/>
        <v/>
      </c>
      <c r="E121" s="50" t="str">
        <f>IF(C121="","",IFERROR(VLOOKUP(C121,Clientes!$C$2:$D$1000,2,FALSE),"Não definido"))</f>
        <v/>
      </c>
      <c r="K121" s="8" t="str">
        <f t="shared" si="6"/>
        <v/>
      </c>
      <c r="L121" s="3" t="str">
        <f t="shared" si="9"/>
        <v/>
      </c>
      <c r="P121" s="51"/>
    </row>
    <row r="122" spans="2:16" x14ac:dyDescent="0.25">
      <c r="B122" s="7" t="str">
        <f t="shared" si="8"/>
        <v/>
      </c>
      <c r="E122" s="50" t="str">
        <f>IF(C122="","",IFERROR(VLOOKUP(C122,Clientes!$C$2:$D$1000,2,FALSE),"Não definido"))</f>
        <v/>
      </c>
      <c r="K122" s="8" t="str">
        <f t="shared" si="6"/>
        <v/>
      </c>
      <c r="L122" s="3" t="str">
        <f t="shared" si="9"/>
        <v/>
      </c>
      <c r="P122" s="51"/>
    </row>
    <row r="123" spans="2:16" x14ac:dyDescent="0.25">
      <c r="B123" s="7" t="str">
        <f t="shared" si="8"/>
        <v/>
      </c>
      <c r="E123" s="50" t="str">
        <f>IF(C123="","",IFERROR(VLOOKUP(C123,Clientes!$C$2:$D$1000,2,FALSE),"Não definido"))</f>
        <v/>
      </c>
      <c r="K123" s="8" t="str">
        <f t="shared" si="6"/>
        <v/>
      </c>
      <c r="L123" s="3" t="str">
        <f t="shared" si="9"/>
        <v/>
      </c>
      <c r="P123" s="51"/>
    </row>
    <row r="124" spans="2:16" x14ac:dyDescent="0.25">
      <c r="B124" s="7" t="str">
        <f t="shared" si="8"/>
        <v/>
      </c>
      <c r="E124" s="50" t="str">
        <f>IF(C124="","",IFERROR(VLOOKUP(C124,Clientes!$C$2:$D$1000,2,FALSE),"Não definido"))</f>
        <v/>
      </c>
      <c r="K124" s="8" t="str">
        <f t="shared" si="6"/>
        <v/>
      </c>
      <c r="L124" s="3" t="str">
        <f t="shared" si="9"/>
        <v/>
      </c>
      <c r="P124" s="51"/>
    </row>
    <row r="125" spans="2:16" x14ac:dyDescent="0.25">
      <c r="B125" s="7" t="str">
        <f t="shared" si="8"/>
        <v/>
      </c>
      <c r="E125" s="50" t="str">
        <f>IF(C125="","",IFERROR(VLOOKUP(C125,Clientes!$C$2:$D$1000,2,FALSE),"Não definido"))</f>
        <v/>
      </c>
      <c r="K125" s="8" t="str">
        <f t="shared" si="6"/>
        <v/>
      </c>
      <c r="L125" s="3" t="str">
        <f t="shared" si="9"/>
        <v/>
      </c>
      <c r="P125" s="51"/>
    </row>
    <row r="126" spans="2:16" x14ac:dyDescent="0.25">
      <c r="B126" s="7" t="str">
        <f t="shared" si="8"/>
        <v/>
      </c>
      <c r="E126" s="50" t="str">
        <f>IF(C126="","",IFERROR(VLOOKUP(C126,Clientes!$C$2:$D$1000,2,FALSE),"Não definido"))</f>
        <v/>
      </c>
      <c r="K126" s="8" t="str">
        <f t="shared" si="6"/>
        <v/>
      </c>
      <c r="L126" s="3" t="str">
        <f t="shared" si="9"/>
        <v/>
      </c>
      <c r="P126" s="51"/>
    </row>
    <row r="127" spans="2:16" x14ac:dyDescent="0.25">
      <c r="B127" s="7" t="str">
        <f t="shared" si="8"/>
        <v/>
      </c>
      <c r="E127" s="50" t="str">
        <f>IF(C127="","",IFERROR(VLOOKUP(C127,Clientes!$C$2:$D$1000,2,FALSE),"Não definido"))</f>
        <v/>
      </c>
      <c r="K127" s="8" t="str">
        <f t="shared" si="6"/>
        <v/>
      </c>
      <c r="L127" s="3" t="str">
        <f t="shared" si="9"/>
        <v/>
      </c>
      <c r="P127" s="51"/>
    </row>
    <row r="128" spans="2:16" x14ac:dyDescent="0.25">
      <c r="B128" s="7" t="str">
        <f t="shared" si="8"/>
        <v/>
      </c>
      <c r="E128" s="50" t="str">
        <f>IF(C128="","",IFERROR(VLOOKUP(C128,Clientes!$C$2:$D$1000,2,FALSE),"Não definido"))</f>
        <v/>
      </c>
      <c r="K128" s="8" t="str">
        <f t="shared" si="6"/>
        <v/>
      </c>
      <c r="L128" s="3" t="str">
        <f t="shared" si="9"/>
        <v/>
      </c>
      <c r="P128" s="51"/>
    </row>
    <row r="129" spans="2:16" x14ac:dyDescent="0.25">
      <c r="B129" s="7" t="str">
        <f t="shared" si="8"/>
        <v/>
      </c>
      <c r="E129" s="50" t="str">
        <f>IF(C129="","",IFERROR(VLOOKUP(C129,Clientes!$C$2:$D$1000,2,FALSE),"Não definido"))</f>
        <v/>
      </c>
      <c r="K129" s="8" t="str">
        <f t="shared" ref="K129:K192" si="11">IF(H129="","",IFERROR(I129/H129,0))</f>
        <v/>
      </c>
      <c r="L129" s="3" t="str">
        <f t="shared" si="9"/>
        <v/>
      </c>
      <c r="P129" s="51"/>
    </row>
    <row r="130" spans="2:16" x14ac:dyDescent="0.25">
      <c r="B130" s="7" t="str">
        <f t="shared" si="8"/>
        <v/>
      </c>
      <c r="E130" s="50" t="str">
        <f>IF(C130="","",IFERROR(VLOOKUP(C130,Clientes!$C$2:$D$1000,2,FALSE),"Não definido"))</f>
        <v/>
      </c>
      <c r="K130" s="8" t="str">
        <f t="shared" si="11"/>
        <v/>
      </c>
      <c r="L130" s="3" t="str">
        <f t="shared" si="9"/>
        <v/>
      </c>
      <c r="P130" s="51"/>
    </row>
    <row r="131" spans="2:16" x14ac:dyDescent="0.25">
      <c r="B131" s="7" t="str">
        <f t="shared" ref="B131:B194" si="12">IF(A131="","",PROPER(TEXT(A131,"mmmm")))</f>
        <v/>
      </c>
      <c r="E131" s="50" t="str">
        <f>IF(C131="","",IFERROR(VLOOKUP(C131,Clientes!$C$2:$D$1000,2,FALSE),"Não definido"))</f>
        <v/>
      </c>
      <c r="K131" s="8" t="str">
        <f t="shared" si="11"/>
        <v/>
      </c>
      <c r="L131" s="3" t="str">
        <f t="shared" si="9"/>
        <v/>
      </c>
      <c r="P131" s="51"/>
    </row>
    <row r="132" spans="2:16" x14ac:dyDescent="0.25">
      <c r="B132" s="7" t="str">
        <f t="shared" si="12"/>
        <v/>
      </c>
      <c r="E132" s="50" t="str">
        <f>IF(C132="","",IFERROR(VLOOKUP(C132,Clientes!$C$2:$D$1000,2,FALSE),"Não definido"))</f>
        <v/>
      </c>
      <c r="K132" s="8" t="str">
        <f t="shared" si="11"/>
        <v/>
      </c>
      <c r="L132" s="3" t="str">
        <f t="shared" si="9"/>
        <v/>
      </c>
      <c r="P132" s="51"/>
    </row>
    <row r="133" spans="2:16" x14ac:dyDescent="0.25">
      <c r="B133" s="7" t="str">
        <f t="shared" si="12"/>
        <v/>
      </c>
      <c r="E133" s="50" t="str">
        <f>IF(C133="","",IFERROR(VLOOKUP(C133,Clientes!$C$2:$D$1000,2,FALSE),"Não definido"))</f>
        <v/>
      </c>
      <c r="K133" s="8" t="str">
        <f t="shared" si="11"/>
        <v/>
      </c>
      <c r="L133" s="3" t="str">
        <f t="shared" si="9"/>
        <v/>
      </c>
      <c r="P133" s="51"/>
    </row>
    <row r="134" spans="2:16" x14ac:dyDescent="0.25">
      <c r="B134" s="7" t="str">
        <f t="shared" si="12"/>
        <v/>
      </c>
      <c r="E134" s="50" t="str">
        <f>IF(C134="","",IFERROR(VLOOKUP(C134,Clientes!$C$2:$D$1000,2,FALSE),"Não definido"))</f>
        <v/>
      </c>
      <c r="K134" s="8" t="str">
        <f t="shared" si="11"/>
        <v/>
      </c>
      <c r="L134" s="3" t="str">
        <f t="shared" si="9"/>
        <v/>
      </c>
      <c r="P134" s="51"/>
    </row>
    <row r="135" spans="2:16" x14ac:dyDescent="0.25">
      <c r="B135" s="7" t="str">
        <f t="shared" si="12"/>
        <v/>
      </c>
      <c r="E135" s="50" t="str">
        <f>IF(C135="","",IFERROR(VLOOKUP(C135,Clientes!$C$2:$D$1000,2,FALSE),"Não definido"))</f>
        <v/>
      </c>
      <c r="K135" s="8" t="str">
        <f t="shared" si="11"/>
        <v/>
      </c>
      <c r="L135" s="3" t="str">
        <f t="shared" si="9"/>
        <v/>
      </c>
      <c r="P135" s="51"/>
    </row>
    <row r="136" spans="2:16" x14ac:dyDescent="0.25">
      <c r="B136" s="7" t="str">
        <f t="shared" si="12"/>
        <v/>
      </c>
      <c r="E136" s="50" t="str">
        <f>IF(C136="","",IFERROR(VLOOKUP(C136,Clientes!$C$2:$D$1000,2,FALSE),"Não definido"))</f>
        <v/>
      </c>
      <c r="K136" s="8" t="str">
        <f t="shared" si="11"/>
        <v/>
      </c>
      <c r="L136" s="3" t="str">
        <f t="shared" si="9"/>
        <v/>
      </c>
      <c r="P136" s="51"/>
    </row>
    <row r="137" spans="2:16" x14ac:dyDescent="0.25">
      <c r="B137" s="7" t="str">
        <f t="shared" si="12"/>
        <v/>
      </c>
      <c r="E137" s="50" t="str">
        <f>IF(C137="","",IFERROR(VLOOKUP(C137,Clientes!$C$2:$D$1000,2,FALSE),"Não definido"))</f>
        <v/>
      </c>
      <c r="K137" s="8" t="str">
        <f t="shared" si="11"/>
        <v/>
      </c>
      <c r="L137" s="3" t="str">
        <f t="shared" si="9"/>
        <v/>
      </c>
      <c r="P137" s="51"/>
    </row>
    <row r="138" spans="2:16" x14ac:dyDescent="0.25">
      <c r="B138" s="7" t="str">
        <f t="shared" si="12"/>
        <v/>
      </c>
      <c r="E138" s="50" t="str">
        <f>IF(C138="","",IFERROR(VLOOKUP(C138,Clientes!$C$2:$D$1000,2,FALSE),"Não definido"))</f>
        <v/>
      </c>
      <c r="K138" s="8" t="str">
        <f t="shared" si="11"/>
        <v/>
      </c>
      <c r="L138" s="3" t="str">
        <f t="shared" si="9"/>
        <v/>
      </c>
      <c r="P138" s="51"/>
    </row>
    <row r="139" spans="2:16" x14ac:dyDescent="0.25">
      <c r="B139" s="7" t="str">
        <f t="shared" si="12"/>
        <v/>
      </c>
      <c r="E139" s="50" t="str">
        <f>IF(C139="","",IFERROR(VLOOKUP(C139,Clientes!$C$2:$D$1000,2,FALSE),"Não definido"))</f>
        <v/>
      </c>
      <c r="K139" s="8" t="str">
        <f t="shared" si="11"/>
        <v/>
      </c>
      <c r="L139" s="3" t="str">
        <f t="shared" si="9"/>
        <v/>
      </c>
      <c r="P139" s="51"/>
    </row>
    <row r="140" spans="2:16" x14ac:dyDescent="0.25">
      <c r="B140" s="7" t="str">
        <f t="shared" si="12"/>
        <v/>
      </c>
      <c r="E140" s="50" t="str">
        <f>IF(C140="","",IFERROR(VLOOKUP(C140,Clientes!$C$2:$D$1000,2,FALSE),"Não definido"))</f>
        <v/>
      </c>
      <c r="K140" s="8" t="str">
        <f t="shared" si="11"/>
        <v/>
      </c>
      <c r="L140" s="3" t="str">
        <f t="shared" si="9"/>
        <v/>
      </c>
      <c r="P140" s="51"/>
    </row>
    <row r="141" spans="2:16" x14ac:dyDescent="0.25">
      <c r="B141" s="7" t="str">
        <f t="shared" si="12"/>
        <v/>
      </c>
      <c r="E141" s="50" t="str">
        <f>IF(C141="","",IFERROR(VLOOKUP(C141,Clientes!$C$2:$D$1000,2,FALSE),"Não definido"))</f>
        <v/>
      </c>
      <c r="K141" s="8" t="str">
        <f t="shared" si="11"/>
        <v/>
      </c>
      <c r="L141" s="3" t="str">
        <f t="shared" si="9"/>
        <v/>
      </c>
      <c r="P141" s="51"/>
    </row>
    <row r="142" spans="2:16" x14ac:dyDescent="0.25">
      <c r="B142" s="7" t="str">
        <f t="shared" si="12"/>
        <v/>
      </c>
      <c r="E142" s="50" t="str">
        <f>IF(C142="","",IFERROR(VLOOKUP(C142,Clientes!$C$2:$D$1000,2,FALSE),"Não definido"))</f>
        <v/>
      </c>
      <c r="K142" s="8" t="str">
        <f t="shared" si="11"/>
        <v/>
      </c>
      <c r="L142" s="3" t="str">
        <f t="shared" si="9"/>
        <v/>
      </c>
      <c r="P142" s="51"/>
    </row>
    <row r="143" spans="2:16" x14ac:dyDescent="0.25">
      <c r="B143" s="7" t="str">
        <f t="shared" si="12"/>
        <v/>
      </c>
      <c r="E143" s="50" t="str">
        <f>IF(C143="","",IFERROR(VLOOKUP(C143,Clientes!$C$2:$D$1000,2,FALSE),"Não definido"))</f>
        <v/>
      </c>
      <c r="K143" s="8" t="str">
        <f t="shared" si="11"/>
        <v/>
      </c>
      <c r="L143" s="3" t="str">
        <f t="shared" si="9"/>
        <v/>
      </c>
      <c r="P143" s="51"/>
    </row>
    <row r="144" spans="2:16" x14ac:dyDescent="0.25">
      <c r="B144" s="7" t="str">
        <f t="shared" si="12"/>
        <v/>
      </c>
      <c r="E144" s="50" t="str">
        <f>IF(C144="","",IFERROR(VLOOKUP(C144,Clientes!$C$2:$D$1000,2,FALSE),"Não definido"))</f>
        <v/>
      </c>
      <c r="K144" s="8" t="str">
        <f t="shared" si="11"/>
        <v/>
      </c>
      <c r="L144" s="3" t="str">
        <f t="shared" si="9"/>
        <v/>
      </c>
      <c r="P144" s="51"/>
    </row>
    <row r="145" spans="2:16" x14ac:dyDescent="0.25">
      <c r="B145" s="7" t="str">
        <f t="shared" si="12"/>
        <v/>
      </c>
      <c r="E145" s="50" t="str">
        <f>IF(C145="","",IFERROR(VLOOKUP(C145,Clientes!$C$2:$D$1000,2,FALSE),"Não definido"))</f>
        <v/>
      </c>
      <c r="K145" s="8" t="str">
        <f t="shared" si="11"/>
        <v/>
      </c>
      <c r="L145" s="3" t="str">
        <f t="shared" si="9"/>
        <v/>
      </c>
      <c r="P145" s="51"/>
    </row>
    <row r="146" spans="2:16" x14ac:dyDescent="0.25">
      <c r="B146" s="7" t="str">
        <f t="shared" si="12"/>
        <v/>
      </c>
      <c r="E146" s="50" t="str">
        <f>IF(C146="","",IFERROR(VLOOKUP(C146,Clientes!$C$2:$D$1000,2,FALSE),"Não definido"))</f>
        <v/>
      </c>
      <c r="K146" s="8" t="str">
        <f t="shared" si="11"/>
        <v/>
      </c>
      <c r="L146" s="3" t="str">
        <f t="shared" si="9"/>
        <v/>
      </c>
      <c r="P146" s="51"/>
    </row>
    <row r="147" spans="2:16" x14ac:dyDescent="0.25">
      <c r="B147" s="7" t="str">
        <f t="shared" si="12"/>
        <v/>
      </c>
      <c r="E147" s="50" t="str">
        <f>IF(C147="","",IFERROR(VLOOKUP(C147,Clientes!$C$2:$D$1000,2,FALSE),"Não definido"))</f>
        <v/>
      </c>
      <c r="K147" s="8" t="str">
        <f t="shared" si="11"/>
        <v/>
      </c>
      <c r="L147" s="3" t="str">
        <f t="shared" si="9"/>
        <v/>
      </c>
      <c r="P147" s="51"/>
    </row>
    <row r="148" spans="2:16" x14ac:dyDescent="0.25">
      <c r="B148" s="7" t="str">
        <f t="shared" si="12"/>
        <v/>
      </c>
      <c r="E148" s="50" t="str">
        <f>IF(C148="","",IFERROR(VLOOKUP(C148,Clientes!$C$2:$D$1000,2,FALSE),"Não definido"))</f>
        <v/>
      </c>
      <c r="K148" s="8" t="str">
        <f t="shared" si="11"/>
        <v/>
      </c>
      <c r="L148" s="3" t="str">
        <f t="shared" si="9"/>
        <v/>
      </c>
      <c r="P148" s="51"/>
    </row>
    <row r="149" spans="2:16" x14ac:dyDescent="0.25">
      <c r="B149" s="7" t="str">
        <f t="shared" si="12"/>
        <v/>
      </c>
      <c r="E149" s="50" t="str">
        <f>IF(C149="","",IFERROR(VLOOKUP(C149,Clientes!$C$2:$D$1000,2,FALSE),"Não definido"))</f>
        <v/>
      </c>
      <c r="K149" s="8" t="str">
        <f t="shared" si="11"/>
        <v/>
      </c>
      <c r="L149" s="3" t="str">
        <f t="shared" si="9"/>
        <v/>
      </c>
      <c r="P149" s="51"/>
    </row>
    <row r="150" spans="2:16" x14ac:dyDescent="0.25">
      <c r="B150" s="7" t="str">
        <f t="shared" si="12"/>
        <v/>
      </c>
      <c r="E150" s="50" t="str">
        <f>IF(C150="","",IFERROR(VLOOKUP(C150,Clientes!$C$2:$D$1000,2,FALSE),"Não definido"))</f>
        <v/>
      </c>
      <c r="K150" s="8" t="str">
        <f t="shared" si="11"/>
        <v/>
      </c>
      <c r="L150" s="3" t="str">
        <f t="shared" si="9"/>
        <v/>
      </c>
      <c r="P150" s="51"/>
    </row>
    <row r="151" spans="2:16" x14ac:dyDescent="0.25">
      <c r="B151" s="7" t="str">
        <f t="shared" si="12"/>
        <v/>
      </c>
      <c r="E151" s="50" t="str">
        <f>IF(C151="","",IFERROR(VLOOKUP(C151,Clientes!$C$2:$D$1000,2,FALSE),"Não definido"))</f>
        <v/>
      </c>
      <c r="K151" s="8" t="str">
        <f t="shared" si="11"/>
        <v/>
      </c>
      <c r="L151" s="3" t="str">
        <f t="shared" si="9"/>
        <v/>
      </c>
      <c r="P151" s="51"/>
    </row>
    <row r="152" spans="2:16" x14ac:dyDescent="0.25">
      <c r="B152" s="7" t="str">
        <f t="shared" si="12"/>
        <v/>
      </c>
      <c r="E152" s="50" t="str">
        <f>IF(C152="","",IFERROR(VLOOKUP(C152,Clientes!$C$2:$D$1000,2,FALSE),"Não definido"))</f>
        <v/>
      </c>
      <c r="K152" s="8" t="str">
        <f t="shared" si="11"/>
        <v/>
      </c>
      <c r="L152" s="3" t="str">
        <f t="shared" si="9"/>
        <v/>
      </c>
      <c r="P152" s="51"/>
    </row>
    <row r="153" spans="2:16" x14ac:dyDescent="0.25">
      <c r="B153" s="7" t="str">
        <f t="shared" si="12"/>
        <v/>
      </c>
      <c r="E153" s="50" t="str">
        <f>IF(C153="","",IFERROR(VLOOKUP(C153,Clientes!$C$2:$D$1000,2,FALSE),"Não definido"))</f>
        <v/>
      </c>
      <c r="K153" s="8" t="str">
        <f t="shared" si="11"/>
        <v/>
      </c>
      <c r="L153" s="3" t="str">
        <f t="shared" si="9"/>
        <v/>
      </c>
      <c r="P153" s="51"/>
    </row>
    <row r="154" spans="2:16" x14ac:dyDescent="0.25">
      <c r="B154" s="7" t="str">
        <f t="shared" si="12"/>
        <v/>
      </c>
      <c r="E154" s="50" t="str">
        <f>IF(C154="","",IFERROR(VLOOKUP(C154,Clientes!$C$2:$D$1000,2,FALSE),"Não definido"))</f>
        <v/>
      </c>
      <c r="K154" s="8" t="str">
        <f t="shared" si="11"/>
        <v/>
      </c>
      <c r="L154" s="3" t="str">
        <f t="shared" si="9"/>
        <v/>
      </c>
      <c r="P154" s="51"/>
    </row>
    <row r="155" spans="2:16" x14ac:dyDescent="0.25">
      <c r="B155" s="7" t="str">
        <f t="shared" si="12"/>
        <v/>
      </c>
      <c r="E155" s="50" t="str">
        <f>IF(C155="","",IFERROR(VLOOKUP(C155,Clientes!$C$2:$D$1000,2,FALSE),"Não definido"))</f>
        <v/>
      </c>
      <c r="K155" s="8" t="str">
        <f t="shared" si="11"/>
        <v/>
      </c>
      <c r="L155" s="3" t="str">
        <f t="shared" si="9"/>
        <v/>
      </c>
      <c r="P155" s="51"/>
    </row>
    <row r="156" spans="2:16" x14ac:dyDescent="0.25">
      <c r="B156" s="7" t="str">
        <f t="shared" si="12"/>
        <v/>
      </c>
      <c r="E156" s="50" t="str">
        <f>IF(C156="","",IFERROR(VLOOKUP(C156,Clientes!$C$2:$D$1000,2,FALSE),"Não definido"))</f>
        <v/>
      </c>
      <c r="K156" s="8" t="str">
        <f t="shared" si="11"/>
        <v/>
      </c>
      <c r="L156" s="3" t="str">
        <f t="shared" si="9"/>
        <v/>
      </c>
      <c r="P156" s="51"/>
    </row>
    <row r="157" spans="2:16" x14ac:dyDescent="0.25">
      <c r="B157" s="7" t="str">
        <f t="shared" si="12"/>
        <v/>
      </c>
      <c r="E157" s="50" t="str">
        <f>IF(C157="","",IFERROR(VLOOKUP(C157,Clientes!$C$2:$D$1000,2,FALSE),"Não definido"))</f>
        <v/>
      </c>
      <c r="K157" s="8" t="str">
        <f t="shared" si="11"/>
        <v/>
      </c>
      <c r="L157" s="3" t="str">
        <f t="shared" si="9"/>
        <v/>
      </c>
      <c r="P157" s="51"/>
    </row>
    <row r="158" spans="2:16" x14ac:dyDescent="0.25">
      <c r="B158" s="7" t="str">
        <f t="shared" si="12"/>
        <v/>
      </c>
      <c r="E158" s="50" t="str">
        <f>IF(C158="","",IFERROR(VLOOKUP(C158,Clientes!$C$2:$D$1000,2,FALSE),"Não definido"))</f>
        <v/>
      </c>
      <c r="K158" s="8" t="str">
        <f t="shared" si="11"/>
        <v/>
      </c>
      <c r="L158" s="3" t="str">
        <f t="shared" si="9"/>
        <v/>
      </c>
      <c r="P158" s="51"/>
    </row>
    <row r="159" spans="2:16" x14ac:dyDescent="0.25">
      <c r="B159" s="7" t="str">
        <f t="shared" si="12"/>
        <v/>
      </c>
      <c r="E159" s="50" t="str">
        <f>IF(C159="","",IFERROR(VLOOKUP(C159,Clientes!$C$2:$D$1000,2,FALSE),"Não definido"))</f>
        <v/>
      </c>
      <c r="K159" s="8" t="str">
        <f t="shared" si="11"/>
        <v/>
      </c>
      <c r="L159" s="3" t="str">
        <f t="shared" si="9"/>
        <v/>
      </c>
      <c r="P159" s="51"/>
    </row>
    <row r="160" spans="2:16" x14ac:dyDescent="0.25">
      <c r="B160" s="7" t="str">
        <f t="shared" si="12"/>
        <v/>
      </c>
      <c r="E160" s="50" t="str">
        <f>IF(C160="","",IFERROR(VLOOKUP(C160,Clientes!$C$2:$D$1000,2,FALSE),"Não definido"))</f>
        <v/>
      </c>
      <c r="K160" s="8" t="str">
        <f t="shared" si="11"/>
        <v/>
      </c>
      <c r="L160" s="3" t="str">
        <f t="shared" ref="L160:L223" si="13">IF(A160="","",IF(K160&gt;=1,"Concluído",IF(K160&gt;=0.8,"Parcial","Não executado")))</f>
        <v/>
      </c>
      <c r="P160" s="51"/>
    </row>
    <row r="161" spans="2:16" x14ac:dyDescent="0.25">
      <c r="B161" s="7" t="str">
        <f t="shared" si="12"/>
        <v/>
      </c>
      <c r="E161" s="50" t="str">
        <f>IF(C161="","",IFERROR(VLOOKUP(C161,Clientes!$C$2:$D$1000,2,FALSE),"Não definido"))</f>
        <v/>
      </c>
      <c r="K161" s="8" t="str">
        <f t="shared" si="11"/>
        <v/>
      </c>
      <c r="L161" s="3" t="str">
        <f t="shared" si="13"/>
        <v/>
      </c>
      <c r="P161" s="51"/>
    </row>
    <row r="162" spans="2:16" x14ac:dyDescent="0.25">
      <c r="B162" s="7" t="str">
        <f t="shared" si="12"/>
        <v/>
      </c>
      <c r="E162" s="50" t="str">
        <f>IF(C162="","",IFERROR(VLOOKUP(C162,Clientes!$C$2:$D$1000,2,FALSE),"Não definido"))</f>
        <v/>
      </c>
      <c r="K162" s="8" t="str">
        <f t="shared" si="11"/>
        <v/>
      </c>
      <c r="L162" s="3" t="str">
        <f t="shared" si="13"/>
        <v/>
      </c>
      <c r="P162" s="51"/>
    </row>
    <row r="163" spans="2:16" x14ac:dyDescent="0.25">
      <c r="B163" s="7" t="str">
        <f t="shared" si="12"/>
        <v/>
      </c>
      <c r="E163" s="50" t="str">
        <f>IF(C163="","",IFERROR(VLOOKUP(C163,Clientes!$C$2:$D$1000,2,FALSE),"Não definido"))</f>
        <v/>
      </c>
      <c r="K163" s="8" t="str">
        <f t="shared" si="11"/>
        <v/>
      </c>
      <c r="L163" s="3" t="str">
        <f t="shared" si="13"/>
        <v/>
      </c>
      <c r="P163" s="51"/>
    </row>
    <row r="164" spans="2:16" x14ac:dyDescent="0.25">
      <c r="B164" s="7" t="str">
        <f t="shared" si="12"/>
        <v/>
      </c>
      <c r="E164" s="50" t="str">
        <f>IF(C164="","",IFERROR(VLOOKUP(C164,Clientes!$C$2:$D$1000,2,FALSE),"Não definido"))</f>
        <v/>
      </c>
      <c r="K164" s="8" t="str">
        <f t="shared" si="11"/>
        <v/>
      </c>
      <c r="L164" s="3" t="str">
        <f t="shared" si="13"/>
        <v/>
      </c>
      <c r="P164" s="51"/>
    </row>
    <row r="165" spans="2:16" x14ac:dyDescent="0.25">
      <c r="B165" s="7" t="str">
        <f t="shared" si="12"/>
        <v/>
      </c>
      <c r="E165" s="50" t="str">
        <f>IF(C165="","",IFERROR(VLOOKUP(C165,Clientes!$C$2:$D$1000,2,FALSE),"Não definido"))</f>
        <v/>
      </c>
      <c r="K165" s="8" t="str">
        <f t="shared" si="11"/>
        <v/>
      </c>
      <c r="L165" s="3" t="str">
        <f t="shared" si="13"/>
        <v/>
      </c>
      <c r="P165" s="51"/>
    </row>
    <row r="166" spans="2:16" x14ac:dyDescent="0.25">
      <c r="B166" s="7" t="str">
        <f t="shared" si="12"/>
        <v/>
      </c>
      <c r="E166" s="50" t="str">
        <f>IF(C166="","",IFERROR(VLOOKUP(C166,Clientes!$C$2:$D$1000,2,FALSE),"Não definido"))</f>
        <v/>
      </c>
      <c r="K166" s="8" t="str">
        <f t="shared" si="11"/>
        <v/>
      </c>
      <c r="L166" s="3" t="str">
        <f t="shared" si="13"/>
        <v/>
      </c>
      <c r="P166" s="51"/>
    </row>
    <row r="167" spans="2:16" x14ac:dyDescent="0.25">
      <c r="B167" s="7" t="str">
        <f t="shared" si="12"/>
        <v/>
      </c>
      <c r="E167" s="50" t="str">
        <f>IF(C167="","",IFERROR(VLOOKUP(C167,Clientes!$C$2:$D$1000,2,FALSE),"Não definido"))</f>
        <v/>
      </c>
      <c r="K167" s="8" t="str">
        <f t="shared" si="11"/>
        <v/>
      </c>
      <c r="L167" s="3" t="str">
        <f t="shared" si="13"/>
        <v/>
      </c>
      <c r="P167" s="51"/>
    </row>
    <row r="168" spans="2:16" x14ac:dyDescent="0.25">
      <c r="B168" s="7" t="str">
        <f t="shared" si="12"/>
        <v/>
      </c>
      <c r="E168" s="50" t="str">
        <f>IF(C168="","",IFERROR(VLOOKUP(C168,Clientes!$C$2:$D$1000,2,FALSE),"Não definido"))</f>
        <v/>
      </c>
      <c r="K168" s="8" t="str">
        <f t="shared" si="11"/>
        <v/>
      </c>
      <c r="L168" s="3" t="str">
        <f t="shared" si="13"/>
        <v/>
      </c>
      <c r="P168" s="51"/>
    </row>
    <row r="169" spans="2:16" x14ac:dyDescent="0.25">
      <c r="B169" s="7" t="str">
        <f t="shared" si="12"/>
        <v/>
      </c>
      <c r="E169" s="50" t="str">
        <f>IF(C169="","",IFERROR(VLOOKUP(C169,Clientes!$C$2:$D$1000,2,FALSE),"Não definido"))</f>
        <v/>
      </c>
      <c r="K169" s="8" t="str">
        <f t="shared" si="11"/>
        <v/>
      </c>
      <c r="L169" s="3" t="str">
        <f t="shared" si="13"/>
        <v/>
      </c>
      <c r="P169" s="51"/>
    </row>
    <row r="170" spans="2:16" x14ac:dyDescent="0.25">
      <c r="B170" s="7" t="str">
        <f t="shared" si="12"/>
        <v/>
      </c>
      <c r="E170" s="50" t="str">
        <f>IF(C170="","",IFERROR(VLOOKUP(C170,Clientes!$C$2:$D$1000,2,FALSE),"Não definido"))</f>
        <v/>
      </c>
      <c r="K170" s="8" t="str">
        <f t="shared" si="11"/>
        <v/>
      </c>
      <c r="L170" s="3" t="str">
        <f t="shared" si="13"/>
        <v/>
      </c>
      <c r="P170" s="51"/>
    </row>
    <row r="171" spans="2:16" x14ac:dyDescent="0.25">
      <c r="B171" s="7" t="str">
        <f t="shared" si="12"/>
        <v/>
      </c>
      <c r="E171" s="50" t="str">
        <f>IF(C171="","",IFERROR(VLOOKUP(C171,Clientes!$C$2:$D$1000,2,FALSE),"Não definido"))</f>
        <v/>
      </c>
      <c r="K171" s="8" t="str">
        <f t="shared" si="11"/>
        <v/>
      </c>
      <c r="L171" s="3" t="str">
        <f t="shared" si="13"/>
        <v/>
      </c>
      <c r="P171" s="51"/>
    </row>
    <row r="172" spans="2:16" x14ac:dyDescent="0.25">
      <c r="B172" s="7" t="str">
        <f t="shared" si="12"/>
        <v/>
      </c>
      <c r="E172" s="50" t="str">
        <f>IF(C172="","",IFERROR(VLOOKUP(C172,Clientes!$C$2:$D$1000,2,FALSE),"Não definido"))</f>
        <v/>
      </c>
      <c r="K172" s="8" t="str">
        <f t="shared" si="11"/>
        <v/>
      </c>
      <c r="L172" s="3" t="str">
        <f t="shared" si="13"/>
        <v/>
      </c>
      <c r="P172" s="51"/>
    </row>
    <row r="173" spans="2:16" x14ac:dyDescent="0.25">
      <c r="B173" s="7" t="str">
        <f t="shared" si="12"/>
        <v/>
      </c>
      <c r="E173" s="50" t="str">
        <f>IF(C173="","",IFERROR(VLOOKUP(C173,Clientes!$C$2:$D$1000,2,FALSE),"Não definido"))</f>
        <v/>
      </c>
      <c r="K173" s="8" t="str">
        <f t="shared" si="11"/>
        <v/>
      </c>
      <c r="L173" s="3" t="str">
        <f t="shared" si="13"/>
        <v/>
      </c>
      <c r="P173" s="51"/>
    </row>
    <row r="174" spans="2:16" x14ac:dyDescent="0.25">
      <c r="B174" s="7" t="str">
        <f t="shared" si="12"/>
        <v/>
      </c>
      <c r="E174" s="50" t="str">
        <f>IF(C174="","",IFERROR(VLOOKUP(C174,Clientes!$C$2:$D$1000,2,FALSE),"Não definido"))</f>
        <v/>
      </c>
      <c r="K174" s="8" t="str">
        <f t="shared" si="11"/>
        <v/>
      </c>
      <c r="L174" s="3" t="str">
        <f t="shared" si="13"/>
        <v/>
      </c>
      <c r="P174" s="51"/>
    </row>
    <row r="175" spans="2:16" x14ac:dyDescent="0.25">
      <c r="B175" s="7" t="str">
        <f t="shared" si="12"/>
        <v/>
      </c>
      <c r="E175" s="50" t="str">
        <f>IF(C175="","",IFERROR(VLOOKUP(C175,Clientes!$C$2:$D$1000,2,FALSE),"Não definido"))</f>
        <v/>
      </c>
      <c r="K175" s="8" t="str">
        <f t="shared" si="11"/>
        <v/>
      </c>
      <c r="L175" s="3" t="str">
        <f t="shared" si="13"/>
        <v/>
      </c>
      <c r="P175" s="51"/>
    </row>
    <row r="176" spans="2:16" x14ac:dyDescent="0.25">
      <c r="B176" s="7" t="str">
        <f t="shared" si="12"/>
        <v/>
      </c>
      <c r="E176" s="50" t="str">
        <f>IF(C176="","",IFERROR(VLOOKUP(C176,Clientes!$C$2:$D$1000,2,FALSE),"Não definido"))</f>
        <v/>
      </c>
      <c r="K176" s="8" t="str">
        <f t="shared" si="11"/>
        <v/>
      </c>
      <c r="L176" s="3" t="str">
        <f t="shared" si="13"/>
        <v/>
      </c>
      <c r="P176" s="51"/>
    </row>
    <row r="177" spans="2:16" x14ac:dyDescent="0.25">
      <c r="B177" s="7" t="str">
        <f t="shared" si="12"/>
        <v/>
      </c>
      <c r="E177" s="50" t="str">
        <f>IF(C177="","",IFERROR(VLOOKUP(C177,Clientes!$C$2:$D$1000,2,FALSE),"Não definido"))</f>
        <v/>
      </c>
      <c r="K177" s="8" t="str">
        <f t="shared" si="11"/>
        <v/>
      </c>
      <c r="L177" s="3" t="str">
        <f t="shared" si="13"/>
        <v/>
      </c>
      <c r="P177" s="51"/>
    </row>
    <row r="178" spans="2:16" x14ac:dyDescent="0.25">
      <c r="B178" s="7" t="str">
        <f t="shared" si="12"/>
        <v/>
      </c>
      <c r="E178" s="50" t="str">
        <f>IF(C178="","",IFERROR(VLOOKUP(C178,Clientes!$C$2:$D$1000,2,FALSE),"Não definido"))</f>
        <v/>
      </c>
      <c r="K178" s="8" t="str">
        <f t="shared" si="11"/>
        <v/>
      </c>
      <c r="L178" s="3" t="str">
        <f t="shared" si="13"/>
        <v/>
      </c>
      <c r="P178" s="51"/>
    </row>
    <row r="179" spans="2:16" x14ac:dyDescent="0.25">
      <c r="B179" s="7" t="str">
        <f t="shared" si="12"/>
        <v/>
      </c>
      <c r="E179" s="50" t="str">
        <f>IF(C179="","",IFERROR(VLOOKUP(C179,Clientes!$C$2:$D$1000,2,FALSE),"Não definido"))</f>
        <v/>
      </c>
      <c r="K179" s="8" t="str">
        <f t="shared" si="11"/>
        <v/>
      </c>
      <c r="L179" s="3" t="str">
        <f t="shared" si="13"/>
        <v/>
      </c>
      <c r="P179" s="51"/>
    </row>
    <row r="180" spans="2:16" x14ac:dyDescent="0.25">
      <c r="B180" s="7" t="str">
        <f t="shared" si="12"/>
        <v/>
      </c>
      <c r="E180" s="50" t="str">
        <f>IF(C180="","",IFERROR(VLOOKUP(C180,Clientes!$C$2:$D$1000,2,FALSE),"Não definido"))</f>
        <v/>
      </c>
      <c r="K180" s="8" t="str">
        <f t="shared" si="11"/>
        <v/>
      </c>
      <c r="L180" s="3" t="str">
        <f t="shared" si="13"/>
        <v/>
      </c>
      <c r="P180" s="51"/>
    </row>
    <row r="181" spans="2:16" x14ac:dyDescent="0.25">
      <c r="B181" s="7" t="str">
        <f t="shared" si="12"/>
        <v/>
      </c>
      <c r="E181" s="50" t="str">
        <f>IF(C181="","",IFERROR(VLOOKUP(C181,Clientes!$C$2:$D$1000,2,FALSE),"Não definido"))</f>
        <v/>
      </c>
      <c r="K181" s="8" t="str">
        <f t="shared" si="11"/>
        <v/>
      </c>
      <c r="L181" s="3" t="str">
        <f t="shared" si="13"/>
        <v/>
      </c>
      <c r="P181" s="51"/>
    </row>
    <row r="182" spans="2:16" x14ac:dyDescent="0.25">
      <c r="B182" s="7" t="str">
        <f t="shared" si="12"/>
        <v/>
      </c>
      <c r="E182" s="50" t="str">
        <f>IF(C182="","",IFERROR(VLOOKUP(C182,Clientes!$C$2:$D$1000,2,FALSE),"Não definido"))</f>
        <v/>
      </c>
      <c r="K182" s="8" t="str">
        <f t="shared" si="11"/>
        <v/>
      </c>
      <c r="L182" s="3" t="str">
        <f t="shared" si="13"/>
        <v/>
      </c>
      <c r="P182" s="51"/>
    </row>
    <row r="183" spans="2:16" x14ac:dyDescent="0.25">
      <c r="B183" s="7" t="str">
        <f t="shared" si="12"/>
        <v/>
      </c>
      <c r="E183" s="50" t="str">
        <f>IF(C183="","",IFERROR(VLOOKUP(C183,Clientes!$C$2:$D$1000,2,FALSE),"Não definido"))</f>
        <v/>
      </c>
      <c r="K183" s="8" t="str">
        <f t="shared" si="11"/>
        <v/>
      </c>
      <c r="L183" s="3" t="str">
        <f t="shared" si="13"/>
        <v/>
      </c>
      <c r="P183" s="51"/>
    </row>
    <row r="184" spans="2:16" x14ac:dyDescent="0.25">
      <c r="B184" s="7" t="str">
        <f t="shared" si="12"/>
        <v/>
      </c>
      <c r="E184" s="50" t="str">
        <f>IF(C184="","",IFERROR(VLOOKUP(C184,Clientes!$C$2:$D$1000,2,FALSE),"Não definido"))</f>
        <v/>
      </c>
      <c r="K184" s="8" t="str">
        <f t="shared" si="11"/>
        <v/>
      </c>
      <c r="L184" s="3" t="str">
        <f t="shared" si="13"/>
        <v/>
      </c>
      <c r="P184" s="51"/>
    </row>
    <row r="185" spans="2:16" x14ac:dyDescent="0.25">
      <c r="B185" s="7" t="str">
        <f t="shared" si="12"/>
        <v/>
      </c>
      <c r="E185" s="50" t="str">
        <f>IF(C185="","",IFERROR(VLOOKUP(C185,Clientes!$C$2:$D$1000,2,FALSE),"Não definido"))</f>
        <v/>
      </c>
      <c r="K185" s="8" t="str">
        <f t="shared" si="11"/>
        <v/>
      </c>
      <c r="L185" s="3" t="str">
        <f t="shared" si="13"/>
        <v/>
      </c>
      <c r="P185" s="51"/>
    </row>
    <row r="186" spans="2:16" x14ac:dyDescent="0.25">
      <c r="B186" s="7" t="str">
        <f t="shared" si="12"/>
        <v/>
      </c>
      <c r="E186" s="50" t="str">
        <f>IF(C186="","",IFERROR(VLOOKUP(C186,Clientes!$C$2:$D$1000,2,FALSE),"Não definido"))</f>
        <v/>
      </c>
      <c r="K186" s="8" t="str">
        <f t="shared" si="11"/>
        <v/>
      </c>
      <c r="L186" s="3" t="str">
        <f t="shared" si="13"/>
        <v/>
      </c>
      <c r="P186" s="51"/>
    </row>
    <row r="187" spans="2:16" x14ac:dyDescent="0.25">
      <c r="B187" s="7" t="str">
        <f t="shared" si="12"/>
        <v/>
      </c>
      <c r="E187" s="50" t="str">
        <f>IF(C187="","",IFERROR(VLOOKUP(C187,Clientes!$C$2:$D$1000,2,FALSE),"Não definido"))</f>
        <v/>
      </c>
      <c r="K187" s="8" t="str">
        <f t="shared" si="11"/>
        <v/>
      </c>
      <c r="L187" s="3" t="str">
        <f t="shared" si="13"/>
        <v/>
      </c>
      <c r="P187" s="51"/>
    </row>
    <row r="188" spans="2:16" x14ac:dyDescent="0.25">
      <c r="B188" s="7" t="str">
        <f t="shared" si="12"/>
        <v/>
      </c>
      <c r="E188" s="50" t="str">
        <f>IF(C188="","",IFERROR(VLOOKUP(C188,Clientes!$C$2:$D$1000,2,FALSE),"Não definido"))</f>
        <v/>
      </c>
      <c r="K188" s="8" t="str">
        <f t="shared" si="11"/>
        <v/>
      </c>
      <c r="L188" s="3" t="str">
        <f t="shared" si="13"/>
        <v/>
      </c>
      <c r="P188" s="51"/>
    </row>
    <row r="189" spans="2:16" x14ac:dyDescent="0.25">
      <c r="B189" s="7" t="str">
        <f t="shared" si="12"/>
        <v/>
      </c>
      <c r="E189" s="50" t="str">
        <f>IF(C189="","",IFERROR(VLOOKUP(C189,Clientes!$C$2:$D$1000,2,FALSE),"Não definido"))</f>
        <v/>
      </c>
      <c r="K189" s="8" t="str">
        <f t="shared" si="11"/>
        <v/>
      </c>
      <c r="L189" s="3" t="str">
        <f t="shared" si="13"/>
        <v/>
      </c>
      <c r="P189" s="51"/>
    </row>
    <row r="190" spans="2:16" x14ac:dyDescent="0.25">
      <c r="B190" s="7" t="str">
        <f t="shared" si="12"/>
        <v/>
      </c>
      <c r="E190" s="50" t="str">
        <f>IF(C190="","",IFERROR(VLOOKUP(C190,Clientes!$C$2:$D$1000,2,FALSE),"Não definido"))</f>
        <v/>
      </c>
      <c r="K190" s="8" t="str">
        <f t="shared" si="11"/>
        <v/>
      </c>
      <c r="L190" s="3" t="str">
        <f t="shared" si="13"/>
        <v/>
      </c>
      <c r="P190" s="51"/>
    </row>
    <row r="191" spans="2:16" x14ac:dyDescent="0.25">
      <c r="B191" s="7" t="str">
        <f t="shared" si="12"/>
        <v/>
      </c>
      <c r="E191" s="50" t="str">
        <f>IF(C191="","",IFERROR(VLOOKUP(C191,Clientes!$C$2:$D$1000,2,FALSE),"Não definido"))</f>
        <v/>
      </c>
      <c r="K191" s="8" t="str">
        <f t="shared" si="11"/>
        <v/>
      </c>
      <c r="L191" s="3" t="str">
        <f t="shared" si="13"/>
        <v/>
      </c>
      <c r="P191" s="51"/>
    </row>
    <row r="192" spans="2:16" x14ac:dyDescent="0.25">
      <c r="B192" s="7" t="str">
        <f t="shared" si="12"/>
        <v/>
      </c>
      <c r="E192" s="50" t="str">
        <f>IF(C192="","",IFERROR(VLOOKUP(C192,Clientes!$C$2:$D$1000,2,FALSE),"Não definido"))</f>
        <v/>
      </c>
      <c r="K192" s="8" t="str">
        <f t="shared" si="11"/>
        <v/>
      </c>
      <c r="L192" s="3" t="str">
        <f t="shared" si="13"/>
        <v/>
      </c>
      <c r="P192" s="51"/>
    </row>
    <row r="193" spans="2:16" x14ac:dyDescent="0.25">
      <c r="B193" s="7" t="str">
        <f t="shared" si="12"/>
        <v/>
      </c>
      <c r="E193" s="50" t="str">
        <f>IF(C193="","",IFERROR(VLOOKUP(C193,Clientes!$C$2:$D$1000,2,FALSE),"Não definido"))</f>
        <v/>
      </c>
      <c r="K193" s="8" t="str">
        <f t="shared" ref="K193:K256" si="14">IF(H193="","",IFERROR(I193/H193,0))</f>
        <v/>
      </c>
      <c r="L193" s="3" t="str">
        <f t="shared" si="13"/>
        <v/>
      </c>
      <c r="P193" s="51"/>
    </row>
    <row r="194" spans="2:16" x14ac:dyDescent="0.25">
      <c r="B194" s="7" t="str">
        <f t="shared" si="12"/>
        <v/>
      </c>
      <c r="E194" s="50" t="str">
        <f>IF(C194="","",IFERROR(VLOOKUP(C194,Clientes!$C$2:$D$1000,2,FALSE),"Não definido"))</f>
        <v/>
      </c>
      <c r="K194" s="8" t="str">
        <f t="shared" si="14"/>
        <v/>
      </c>
      <c r="L194" s="3" t="str">
        <f t="shared" si="13"/>
        <v/>
      </c>
      <c r="P194" s="51"/>
    </row>
    <row r="195" spans="2:16" x14ac:dyDescent="0.25">
      <c r="B195" s="7" t="str">
        <f t="shared" ref="B195:B258" si="15">IF(A195="","",PROPER(TEXT(A195,"mmmm")))</f>
        <v/>
      </c>
      <c r="E195" s="50" t="str">
        <f>IF(C195="","",IFERROR(VLOOKUP(C195,Clientes!$C$2:$D$1000,2,FALSE),"Não definido"))</f>
        <v/>
      </c>
      <c r="K195" s="8" t="str">
        <f t="shared" si="14"/>
        <v/>
      </c>
      <c r="L195" s="3" t="str">
        <f t="shared" si="13"/>
        <v/>
      </c>
      <c r="P195" s="51"/>
    </row>
    <row r="196" spans="2:16" x14ac:dyDescent="0.25">
      <c r="B196" s="7" t="str">
        <f t="shared" si="15"/>
        <v/>
      </c>
      <c r="E196" s="50" t="str">
        <f>IF(C196="","",IFERROR(VLOOKUP(C196,Clientes!$C$2:$D$1000,2,FALSE),"Não definido"))</f>
        <v/>
      </c>
      <c r="K196" s="8" t="str">
        <f t="shared" si="14"/>
        <v/>
      </c>
      <c r="L196" s="3" t="str">
        <f t="shared" si="13"/>
        <v/>
      </c>
      <c r="P196" s="51"/>
    </row>
    <row r="197" spans="2:16" x14ac:dyDescent="0.25">
      <c r="B197" s="7" t="str">
        <f t="shared" si="15"/>
        <v/>
      </c>
      <c r="E197" s="50" t="str">
        <f>IF(C197="","",IFERROR(VLOOKUP(C197,Clientes!$C$2:$D$1000,2,FALSE),"Não definido"))</f>
        <v/>
      </c>
      <c r="K197" s="8" t="str">
        <f t="shared" si="14"/>
        <v/>
      </c>
      <c r="L197" s="3" t="str">
        <f t="shared" si="13"/>
        <v/>
      </c>
      <c r="P197" s="51"/>
    </row>
    <row r="198" spans="2:16" x14ac:dyDescent="0.25">
      <c r="B198" s="7" t="str">
        <f t="shared" si="15"/>
        <v/>
      </c>
      <c r="E198" s="50" t="str">
        <f>IF(C198="","",IFERROR(VLOOKUP(C198,Clientes!$C$2:$D$1000,2,FALSE),"Não definido"))</f>
        <v/>
      </c>
      <c r="K198" s="8" t="str">
        <f t="shared" si="14"/>
        <v/>
      </c>
      <c r="L198" s="3" t="str">
        <f t="shared" si="13"/>
        <v/>
      </c>
      <c r="P198" s="51"/>
    </row>
    <row r="199" spans="2:16" x14ac:dyDescent="0.25">
      <c r="B199" s="7" t="str">
        <f t="shared" si="15"/>
        <v/>
      </c>
      <c r="E199" s="50" t="str">
        <f>IF(C199="","",IFERROR(VLOOKUP(C199,Clientes!$C$2:$D$1000,2,FALSE),"Não definido"))</f>
        <v/>
      </c>
      <c r="K199" s="8" t="str">
        <f t="shared" si="14"/>
        <v/>
      </c>
      <c r="L199" s="3" t="str">
        <f t="shared" si="13"/>
        <v/>
      </c>
      <c r="P199" s="51"/>
    </row>
    <row r="200" spans="2:16" x14ac:dyDescent="0.25">
      <c r="B200" s="7" t="str">
        <f t="shared" si="15"/>
        <v/>
      </c>
      <c r="E200" s="50" t="str">
        <f>IF(C200="","",IFERROR(VLOOKUP(C200,Clientes!$C$2:$D$1000,2,FALSE),"Não definido"))</f>
        <v/>
      </c>
      <c r="K200" s="8" t="str">
        <f t="shared" si="14"/>
        <v/>
      </c>
      <c r="L200" s="3" t="str">
        <f t="shared" si="13"/>
        <v/>
      </c>
      <c r="P200" s="51"/>
    </row>
    <row r="201" spans="2:16" x14ac:dyDescent="0.25">
      <c r="B201" s="7" t="str">
        <f t="shared" si="15"/>
        <v/>
      </c>
      <c r="E201" s="50" t="str">
        <f>IF(C201="","",IFERROR(VLOOKUP(C201,Clientes!$C$2:$D$1000,2,FALSE),"Não definido"))</f>
        <v/>
      </c>
      <c r="K201" s="8" t="str">
        <f t="shared" si="14"/>
        <v/>
      </c>
      <c r="L201" s="3" t="str">
        <f t="shared" si="13"/>
        <v/>
      </c>
      <c r="P201" s="51"/>
    </row>
    <row r="202" spans="2:16" x14ac:dyDescent="0.25">
      <c r="B202" s="7" t="str">
        <f t="shared" si="15"/>
        <v/>
      </c>
      <c r="E202" s="50" t="str">
        <f>IF(C202="","",IFERROR(VLOOKUP(C202,Clientes!$C$2:$D$1000,2,FALSE),"Não definido"))</f>
        <v/>
      </c>
      <c r="K202" s="8" t="str">
        <f t="shared" si="14"/>
        <v/>
      </c>
      <c r="L202" s="3" t="str">
        <f t="shared" si="13"/>
        <v/>
      </c>
      <c r="P202" s="51"/>
    </row>
    <row r="203" spans="2:16" x14ac:dyDescent="0.25">
      <c r="B203" s="7" t="str">
        <f t="shared" si="15"/>
        <v/>
      </c>
      <c r="E203" s="50" t="str">
        <f>IF(C203="","",IFERROR(VLOOKUP(C203,Clientes!$C$2:$D$1000,2,FALSE),"Não definido"))</f>
        <v/>
      </c>
      <c r="K203" s="8" t="str">
        <f t="shared" si="14"/>
        <v/>
      </c>
      <c r="L203" s="3" t="str">
        <f t="shared" si="13"/>
        <v/>
      </c>
      <c r="P203" s="51"/>
    </row>
    <row r="204" spans="2:16" x14ac:dyDescent="0.25">
      <c r="B204" s="7" t="str">
        <f t="shared" si="15"/>
        <v/>
      </c>
      <c r="E204" s="50" t="str">
        <f>IF(C204="","",IFERROR(VLOOKUP(C204,Clientes!$C$2:$D$1000,2,FALSE),"Não definido"))</f>
        <v/>
      </c>
      <c r="K204" s="8" t="str">
        <f t="shared" si="14"/>
        <v/>
      </c>
      <c r="L204" s="3" t="str">
        <f t="shared" si="13"/>
        <v/>
      </c>
      <c r="P204" s="51"/>
    </row>
    <row r="205" spans="2:16" x14ac:dyDescent="0.25">
      <c r="B205" s="7" t="str">
        <f t="shared" si="15"/>
        <v/>
      </c>
      <c r="E205" s="50" t="str">
        <f>IF(C205="","",IFERROR(VLOOKUP(C205,Clientes!$C$2:$D$1000,2,FALSE),"Não definido"))</f>
        <v/>
      </c>
      <c r="K205" s="8" t="str">
        <f t="shared" si="14"/>
        <v/>
      </c>
      <c r="L205" s="3" t="str">
        <f t="shared" si="13"/>
        <v/>
      </c>
      <c r="P205" s="51"/>
    </row>
    <row r="206" spans="2:16" x14ac:dyDescent="0.25">
      <c r="B206" s="7" t="str">
        <f t="shared" si="15"/>
        <v/>
      </c>
      <c r="E206" s="50" t="str">
        <f>IF(C206="","",IFERROR(VLOOKUP(C206,Clientes!$C$2:$D$1000,2,FALSE),"Não definido"))</f>
        <v/>
      </c>
      <c r="K206" s="8" t="str">
        <f t="shared" si="14"/>
        <v/>
      </c>
      <c r="L206" s="3" t="str">
        <f t="shared" si="13"/>
        <v/>
      </c>
      <c r="P206" s="51"/>
    </row>
    <row r="207" spans="2:16" x14ac:dyDescent="0.25">
      <c r="B207" s="7" t="str">
        <f t="shared" si="15"/>
        <v/>
      </c>
      <c r="E207" s="50" t="str">
        <f>IF(C207="","",IFERROR(VLOOKUP(C207,Clientes!$C$2:$D$1000,2,FALSE),"Não definido"))</f>
        <v/>
      </c>
      <c r="K207" s="8" t="str">
        <f t="shared" si="14"/>
        <v/>
      </c>
      <c r="L207" s="3" t="str">
        <f t="shared" si="13"/>
        <v/>
      </c>
      <c r="P207" s="51"/>
    </row>
    <row r="208" spans="2:16" x14ac:dyDescent="0.25">
      <c r="B208" s="7" t="str">
        <f t="shared" si="15"/>
        <v/>
      </c>
      <c r="E208" s="50" t="str">
        <f>IF(C208="","",IFERROR(VLOOKUP(C208,Clientes!$C$2:$D$1000,2,FALSE),"Não definido"))</f>
        <v/>
      </c>
      <c r="K208" s="8" t="str">
        <f t="shared" si="14"/>
        <v/>
      </c>
      <c r="L208" s="3" t="str">
        <f t="shared" si="13"/>
        <v/>
      </c>
      <c r="P208" s="51"/>
    </row>
    <row r="209" spans="2:16" x14ac:dyDescent="0.25">
      <c r="B209" s="7" t="str">
        <f t="shared" si="15"/>
        <v/>
      </c>
      <c r="E209" s="50" t="str">
        <f>IF(C209="","",IFERROR(VLOOKUP(C209,Clientes!$C$2:$D$1000,2,FALSE),"Não definido"))</f>
        <v/>
      </c>
      <c r="K209" s="8" t="str">
        <f t="shared" si="14"/>
        <v/>
      </c>
      <c r="L209" s="3" t="str">
        <f t="shared" si="13"/>
        <v/>
      </c>
      <c r="P209" s="51"/>
    </row>
    <row r="210" spans="2:16" x14ac:dyDescent="0.25">
      <c r="B210" s="7" t="str">
        <f t="shared" si="15"/>
        <v/>
      </c>
      <c r="E210" s="50" t="str">
        <f>IF(C210="","",IFERROR(VLOOKUP(C210,Clientes!$C$2:$D$1000,2,FALSE),"Não definido"))</f>
        <v/>
      </c>
      <c r="K210" s="8" t="str">
        <f t="shared" si="14"/>
        <v/>
      </c>
      <c r="L210" s="3" t="str">
        <f t="shared" si="13"/>
        <v/>
      </c>
      <c r="P210" s="51"/>
    </row>
    <row r="211" spans="2:16" x14ac:dyDescent="0.25">
      <c r="B211" s="7" t="str">
        <f t="shared" si="15"/>
        <v/>
      </c>
      <c r="E211" s="50" t="str">
        <f>IF(C211="","",IFERROR(VLOOKUP(C211,Clientes!$C$2:$D$1000,2,FALSE),"Não definido"))</f>
        <v/>
      </c>
      <c r="K211" s="8" t="str">
        <f t="shared" si="14"/>
        <v/>
      </c>
      <c r="L211" s="3" t="str">
        <f t="shared" si="13"/>
        <v/>
      </c>
      <c r="P211" s="51"/>
    </row>
    <row r="212" spans="2:16" x14ac:dyDescent="0.25">
      <c r="B212" s="7" t="str">
        <f t="shared" si="15"/>
        <v/>
      </c>
      <c r="E212" s="50" t="str">
        <f>IF(C212="","",IFERROR(VLOOKUP(C212,Clientes!$C$2:$D$1000,2,FALSE),"Não definido"))</f>
        <v/>
      </c>
      <c r="K212" s="8" t="str">
        <f t="shared" si="14"/>
        <v/>
      </c>
      <c r="L212" s="3" t="str">
        <f t="shared" si="13"/>
        <v/>
      </c>
      <c r="P212" s="51"/>
    </row>
    <row r="213" spans="2:16" x14ac:dyDescent="0.25">
      <c r="B213" s="7" t="str">
        <f t="shared" si="15"/>
        <v/>
      </c>
      <c r="E213" s="50" t="str">
        <f>IF(C213="","",IFERROR(VLOOKUP(C213,Clientes!$C$2:$D$1000,2,FALSE),"Não definido"))</f>
        <v/>
      </c>
      <c r="K213" s="8" t="str">
        <f t="shared" si="14"/>
        <v/>
      </c>
      <c r="L213" s="3" t="str">
        <f t="shared" si="13"/>
        <v/>
      </c>
      <c r="P213" s="51"/>
    </row>
    <row r="214" spans="2:16" x14ac:dyDescent="0.25">
      <c r="B214" s="7" t="str">
        <f t="shared" si="15"/>
        <v/>
      </c>
      <c r="E214" s="50" t="str">
        <f>IF(C214="","",IFERROR(VLOOKUP(C214,Clientes!$C$2:$D$1000,2,FALSE),"Não definido"))</f>
        <v/>
      </c>
      <c r="K214" s="8" t="str">
        <f t="shared" si="14"/>
        <v/>
      </c>
      <c r="L214" s="3" t="str">
        <f t="shared" si="13"/>
        <v/>
      </c>
      <c r="P214" s="51"/>
    </row>
    <row r="215" spans="2:16" x14ac:dyDescent="0.25">
      <c r="B215" s="7" t="str">
        <f t="shared" si="15"/>
        <v/>
      </c>
      <c r="E215" s="50" t="str">
        <f>IF(C215="","",IFERROR(VLOOKUP(C215,Clientes!$C$2:$D$1000,2,FALSE),"Não definido"))</f>
        <v/>
      </c>
      <c r="K215" s="8" t="str">
        <f t="shared" si="14"/>
        <v/>
      </c>
      <c r="L215" s="3" t="str">
        <f t="shared" si="13"/>
        <v/>
      </c>
      <c r="P215" s="51"/>
    </row>
    <row r="216" spans="2:16" x14ac:dyDescent="0.25">
      <c r="B216" s="7" t="str">
        <f t="shared" si="15"/>
        <v/>
      </c>
      <c r="E216" s="50" t="str">
        <f>IF(C216="","",IFERROR(VLOOKUP(C216,Clientes!$C$2:$D$1000,2,FALSE),"Não definido"))</f>
        <v/>
      </c>
      <c r="K216" s="8" t="str">
        <f t="shared" si="14"/>
        <v/>
      </c>
      <c r="L216" s="3" t="str">
        <f t="shared" si="13"/>
        <v/>
      </c>
      <c r="P216" s="51"/>
    </row>
    <row r="217" spans="2:16" x14ac:dyDescent="0.25">
      <c r="B217" s="7" t="str">
        <f t="shared" si="15"/>
        <v/>
      </c>
      <c r="E217" s="50" t="str">
        <f>IF(C217="","",IFERROR(VLOOKUP(C217,Clientes!$C$2:$D$1000,2,FALSE),"Não definido"))</f>
        <v/>
      </c>
      <c r="K217" s="8" t="str">
        <f t="shared" si="14"/>
        <v/>
      </c>
      <c r="L217" s="3" t="str">
        <f t="shared" si="13"/>
        <v/>
      </c>
      <c r="P217" s="51"/>
    </row>
    <row r="218" spans="2:16" x14ac:dyDescent="0.25">
      <c r="B218" s="7" t="str">
        <f t="shared" si="15"/>
        <v/>
      </c>
      <c r="E218" s="50" t="str">
        <f>IF(C218="","",IFERROR(VLOOKUP(C218,Clientes!$C$2:$D$1000,2,FALSE),"Não definido"))</f>
        <v/>
      </c>
      <c r="K218" s="8" t="str">
        <f t="shared" si="14"/>
        <v/>
      </c>
      <c r="L218" s="3" t="str">
        <f t="shared" si="13"/>
        <v/>
      </c>
      <c r="P218" s="51"/>
    </row>
    <row r="219" spans="2:16" x14ac:dyDescent="0.25">
      <c r="B219" s="7" t="str">
        <f t="shared" si="15"/>
        <v/>
      </c>
      <c r="E219" s="50" t="str">
        <f>IF(C219="","",IFERROR(VLOOKUP(C219,Clientes!$C$2:$D$1000,2,FALSE),"Não definido"))</f>
        <v/>
      </c>
      <c r="K219" s="8" t="str">
        <f t="shared" si="14"/>
        <v/>
      </c>
      <c r="L219" s="3" t="str">
        <f t="shared" si="13"/>
        <v/>
      </c>
      <c r="P219" s="51"/>
    </row>
    <row r="220" spans="2:16" x14ac:dyDescent="0.25">
      <c r="B220" s="7" t="str">
        <f t="shared" si="15"/>
        <v/>
      </c>
      <c r="E220" s="50" t="str">
        <f>IF(C220="","",IFERROR(VLOOKUP(C220,Clientes!$C$2:$D$1000,2,FALSE),"Não definido"))</f>
        <v/>
      </c>
      <c r="K220" s="8" t="str">
        <f t="shared" si="14"/>
        <v/>
      </c>
      <c r="L220" s="3" t="str">
        <f t="shared" si="13"/>
        <v/>
      </c>
      <c r="P220" s="51"/>
    </row>
    <row r="221" spans="2:16" x14ac:dyDescent="0.25">
      <c r="B221" s="7" t="str">
        <f t="shared" si="15"/>
        <v/>
      </c>
      <c r="E221" s="50" t="str">
        <f>IF(C221="","",IFERROR(VLOOKUP(C221,Clientes!$C$2:$D$1000,2,FALSE),"Não definido"))</f>
        <v/>
      </c>
      <c r="K221" s="8" t="str">
        <f t="shared" si="14"/>
        <v/>
      </c>
      <c r="L221" s="3" t="str">
        <f t="shared" si="13"/>
        <v/>
      </c>
      <c r="P221" s="51"/>
    </row>
    <row r="222" spans="2:16" x14ac:dyDescent="0.25">
      <c r="B222" s="7" t="str">
        <f t="shared" si="15"/>
        <v/>
      </c>
      <c r="E222" s="50" t="str">
        <f>IF(C222="","",IFERROR(VLOOKUP(C222,Clientes!$C$2:$D$1000,2,FALSE),"Não definido"))</f>
        <v/>
      </c>
      <c r="K222" s="8" t="str">
        <f t="shared" si="14"/>
        <v/>
      </c>
      <c r="L222" s="3" t="str">
        <f t="shared" si="13"/>
        <v/>
      </c>
      <c r="P222" s="51"/>
    </row>
    <row r="223" spans="2:16" x14ac:dyDescent="0.25">
      <c r="B223" s="7" t="str">
        <f t="shared" si="15"/>
        <v/>
      </c>
      <c r="E223" s="50" t="str">
        <f>IF(C223="","",IFERROR(VLOOKUP(C223,Clientes!$C$2:$D$1000,2,FALSE),"Não definido"))</f>
        <v/>
      </c>
      <c r="K223" s="8" t="str">
        <f t="shared" si="14"/>
        <v/>
      </c>
      <c r="L223" s="3" t="str">
        <f t="shared" si="13"/>
        <v/>
      </c>
      <c r="P223" s="51"/>
    </row>
    <row r="224" spans="2:16" x14ac:dyDescent="0.25">
      <c r="B224" s="7" t="str">
        <f t="shared" si="15"/>
        <v/>
      </c>
      <c r="E224" s="50" t="str">
        <f>IF(C224="","",IFERROR(VLOOKUP(C224,Clientes!$C$2:$D$1000,2,FALSE),"Não definido"))</f>
        <v/>
      </c>
      <c r="K224" s="8" t="str">
        <f t="shared" si="14"/>
        <v/>
      </c>
      <c r="L224" s="3" t="str">
        <f t="shared" ref="L224:L287" si="16">IF(A224="","",IF(K224&gt;=1,"Concluído",IF(K224&gt;=0.8,"Parcial","Não executado")))</f>
        <v/>
      </c>
      <c r="P224" s="51"/>
    </row>
    <row r="225" spans="2:16" x14ac:dyDescent="0.25">
      <c r="B225" s="7" t="str">
        <f t="shared" si="15"/>
        <v/>
      </c>
      <c r="E225" s="50" t="str">
        <f>IF(C225="","",IFERROR(VLOOKUP(C225,Clientes!$C$2:$D$1000,2,FALSE),"Não definido"))</f>
        <v/>
      </c>
      <c r="K225" s="8" t="str">
        <f t="shared" si="14"/>
        <v/>
      </c>
      <c r="L225" s="3" t="str">
        <f t="shared" si="16"/>
        <v/>
      </c>
      <c r="P225" s="51"/>
    </row>
    <row r="226" spans="2:16" x14ac:dyDescent="0.25">
      <c r="B226" s="7" t="str">
        <f t="shared" si="15"/>
        <v/>
      </c>
      <c r="E226" s="50" t="str">
        <f>IF(C226="","",IFERROR(VLOOKUP(C226,Clientes!$C$2:$D$1000,2,FALSE),"Não definido"))</f>
        <v/>
      </c>
      <c r="K226" s="8" t="str">
        <f t="shared" si="14"/>
        <v/>
      </c>
      <c r="L226" s="3" t="str">
        <f t="shared" si="16"/>
        <v/>
      </c>
      <c r="P226" s="51"/>
    </row>
    <row r="227" spans="2:16" x14ac:dyDescent="0.25">
      <c r="B227" s="7" t="str">
        <f t="shared" si="15"/>
        <v/>
      </c>
      <c r="E227" s="50" t="str">
        <f>IF(C227="","",IFERROR(VLOOKUP(C227,Clientes!$C$2:$D$1000,2,FALSE),"Não definido"))</f>
        <v/>
      </c>
      <c r="K227" s="8" t="str">
        <f t="shared" si="14"/>
        <v/>
      </c>
      <c r="L227" s="3" t="str">
        <f t="shared" si="16"/>
        <v/>
      </c>
      <c r="P227" s="51"/>
    </row>
    <row r="228" spans="2:16" x14ac:dyDescent="0.25">
      <c r="B228" s="7" t="str">
        <f t="shared" si="15"/>
        <v/>
      </c>
      <c r="E228" s="50" t="str">
        <f>IF(C228="","",IFERROR(VLOOKUP(C228,Clientes!$C$2:$D$1000,2,FALSE),"Não definido"))</f>
        <v/>
      </c>
      <c r="K228" s="8" t="str">
        <f t="shared" si="14"/>
        <v/>
      </c>
      <c r="L228" s="3" t="str">
        <f t="shared" si="16"/>
        <v/>
      </c>
      <c r="P228" s="51"/>
    </row>
    <row r="229" spans="2:16" x14ac:dyDescent="0.25">
      <c r="B229" s="7" t="str">
        <f t="shared" si="15"/>
        <v/>
      </c>
      <c r="E229" s="50" t="str">
        <f>IF(C229="","",IFERROR(VLOOKUP(C229,Clientes!$C$2:$D$1000,2,FALSE),"Não definido"))</f>
        <v/>
      </c>
      <c r="K229" s="8" t="str">
        <f t="shared" si="14"/>
        <v/>
      </c>
      <c r="L229" s="3" t="str">
        <f t="shared" si="16"/>
        <v/>
      </c>
      <c r="P229" s="51"/>
    </row>
    <row r="230" spans="2:16" x14ac:dyDescent="0.25">
      <c r="B230" s="7" t="str">
        <f t="shared" si="15"/>
        <v/>
      </c>
      <c r="E230" s="50" t="str">
        <f>IF(C230="","",IFERROR(VLOOKUP(C230,Clientes!$C$2:$D$1000,2,FALSE),"Não definido"))</f>
        <v/>
      </c>
      <c r="K230" s="8" t="str">
        <f t="shared" si="14"/>
        <v/>
      </c>
      <c r="L230" s="3" t="str">
        <f t="shared" si="16"/>
        <v/>
      </c>
      <c r="P230" s="51"/>
    </row>
    <row r="231" spans="2:16" x14ac:dyDescent="0.25">
      <c r="B231" s="7" t="str">
        <f t="shared" si="15"/>
        <v/>
      </c>
      <c r="E231" s="50" t="str">
        <f>IF(C231="","",IFERROR(VLOOKUP(C231,Clientes!$C$2:$D$1000,2,FALSE),"Não definido"))</f>
        <v/>
      </c>
      <c r="K231" s="8" t="str">
        <f t="shared" si="14"/>
        <v/>
      </c>
      <c r="L231" s="3" t="str">
        <f t="shared" si="16"/>
        <v/>
      </c>
      <c r="P231" s="51"/>
    </row>
    <row r="232" spans="2:16" x14ac:dyDescent="0.25">
      <c r="B232" s="7" t="str">
        <f t="shared" si="15"/>
        <v/>
      </c>
      <c r="E232" s="50" t="str">
        <f>IF(C232="","",IFERROR(VLOOKUP(C232,Clientes!$C$2:$D$1000,2,FALSE),"Não definido"))</f>
        <v/>
      </c>
      <c r="K232" s="8" t="str">
        <f t="shared" si="14"/>
        <v/>
      </c>
      <c r="L232" s="3" t="str">
        <f t="shared" si="16"/>
        <v/>
      </c>
      <c r="P232" s="51"/>
    </row>
    <row r="233" spans="2:16" x14ac:dyDescent="0.25">
      <c r="B233" s="7" t="str">
        <f t="shared" si="15"/>
        <v/>
      </c>
      <c r="E233" s="50" t="str">
        <f>IF(C233="","",IFERROR(VLOOKUP(C233,Clientes!$C$2:$D$1000,2,FALSE),"Não definido"))</f>
        <v/>
      </c>
      <c r="K233" s="8" t="str">
        <f t="shared" si="14"/>
        <v/>
      </c>
      <c r="L233" s="3" t="str">
        <f t="shared" si="16"/>
        <v/>
      </c>
      <c r="P233" s="51"/>
    </row>
    <row r="234" spans="2:16" x14ac:dyDescent="0.25">
      <c r="B234" s="7" t="str">
        <f t="shared" si="15"/>
        <v/>
      </c>
      <c r="E234" s="50" t="str">
        <f>IF(C234="","",IFERROR(VLOOKUP(C234,Clientes!$C$2:$D$1000,2,FALSE),"Não definido"))</f>
        <v/>
      </c>
      <c r="K234" s="8" t="str">
        <f t="shared" si="14"/>
        <v/>
      </c>
      <c r="L234" s="3" t="str">
        <f t="shared" si="16"/>
        <v/>
      </c>
      <c r="P234" s="51"/>
    </row>
    <row r="235" spans="2:16" x14ac:dyDescent="0.25">
      <c r="B235" s="7" t="str">
        <f t="shared" si="15"/>
        <v/>
      </c>
      <c r="E235" s="50" t="str">
        <f>IF(C235="","",IFERROR(VLOOKUP(C235,Clientes!$C$2:$D$1000,2,FALSE),"Não definido"))</f>
        <v/>
      </c>
      <c r="K235" s="8" t="str">
        <f t="shared" si="14"/>
        <v/>
      </c>
      <c r="L235" s="3" t="str">
        <f t="shared" si="16"/>
        <v/>
      </c>
      <c r="P235" s="51"/>
    </row>
    <row r="236" spans="2:16" x14ac:dyDescent="0.25">
      <c r="B236" s="7" t="str">
        <f t="shared" si="15"/>
        <v/>
      </c>
      <c r="E236" s="50" t="str">
        <f>IF(C236="","",IFERROR(VLOOKUP(C236,Clientes!$C$2:$D$1000,2,FALSE),"Não definido"))</f>
        <v/>
      </c>
      <c r="K236" s="8" t="str">
        <f t="shared" si="14"/>
        <v/>
      </c>
      <c r="L236" s="3" t="str">
        <f t="shared" si="16"/>
        <v/>
      </c>
      <c r="P236" s="51"/>
    </row>
    <row r="237" spans="2:16" x14ac:dyDescent="0.25">
      <c r="B237" s="7" t="str">
        <f t="shared" si="15"/>
        <v/>
      </c>
      <c r="E237" s="50" t="str">
        <f>IF(C237="","",IFERROR(VLOOKUP(C237,Clientes!$C$2:$D$1000,2,FALSE),"Não definido"))</f>
        <v/>
      </c>
      <c r="K237" s="8" t="str">
        <f t="shared" si="14"/>
        <v/>
      </c>
      <c r="L237" s="3" t="str">
        <f t="shared" si="16"/>
        <v/>
      </c>
      <c r="P237" s="51"/>
    </row>
    <row r="238" spans="2:16" x14ac:dyDescent="0.25">
      <c r="B238" s="7" t="str">
        <f t="shared" si="15"/>
        <v/>
      </c>
      <c r="E238" s="50" t="str">
        <f>IF(C238="","",IFERROR(VLOOKUP(C238,Clientes!$C$2:$D$1000,2,FALSE),"Não definido"))</f>
        <v/>
      </c>
      <c r="K238" s="8" t="str">
        <f t="shared" si="14"/>
        <v/>
      </c>
      <c r="L238" s="3" t="str">
        <f t="shared" si="16"/>
        <v/>
      </c>
      <c r="P238" s="51"/>
    </row>
    <row r="239" spans="2:16" x14ac:dyDescent="0.25">
      <c r="B239" s="7" t="str">
        <f t="shared" si="15"/>
        <v/>
      </c>
      <c r="E239" s="50" t="str">
        <f>IF(C239="","",IFERROR(VLOOKUP(C239,Clientes!$C$2:$D$1000,2,FALSE),"Não definido"))</f>
        <v/>
      </c>
      <c r="K239" s="8" t="str">
        <f t="shared" si="14"/>
        <v/>
      </c>
      <c r="L239" s="3" t="str">
        <f t="shared" si="16"/>
        <v/>
      </c>
      <c r="P239" s="51"/>
    </row>
    <row r="240" spans="2:16" x14ac:dyDescent="0.25">
      <c r="B240" s="7" t="str">
        <f t="shared" si="15"/>
        <v/>
      </c>
      <c r="E240" s="50" t="str">
        <f>IF(C240="","",IFERROR(VLOOKUP(C240,Clientes!$C$2:$D$1000,2,FALSE),"Não definido"))</f>
        <v/>
      </c>
      <c r="K240" s="8" t="str">
        <f t="shared" si="14"/>
        <v/>
      </c>
      <c r="L240" s="3" t="str">
        <f t="shared" si="16"/>
        <v/>
      </c>
      <c r="P240" s="51"/>
    </row>
    <row r="241" spans="2:16" x14ac:dyDescent="0.25">
      <c r="B241" s="7" t="str">
        <f t="shared" si="15"/>
        <v/>
      </c>
      <c r="E241" s="50" t="str">
        <f>IF(C241="","",IFERROR(VLOOKUP(C241,Clientes!$C$2:$D$1000,2,FALSE),"Não definido"))</f>
        <v/>
      </c>
      <c r="K241" s="8" t="str">
        <f t="shared" si="14"/>
        <v/>
      </c>
      <c r="L241" s="3" t="str">
        <f t="shared" si="16"/>
        <v/>
      </c>
      <c r="P241" s="51"/>
    </row>
    <row r="242" spans="2:16" x14ac:dyDescent="0.25">
      <c r="B242" s="7" t="str">
        <f t="shared" si="15"/>
        <v/>
      </c>
      <c r="E242" s="50" t="str">
        <f>IF(C242="","",IFERROR(VLOOKUP(C242,Clientes!$C$2:$D$1000,2,FALSE),"Não definido"))</f>
        <v/>
      </c>
      <c r="K242" s="8" t="str">
        <f t="shared" si="14"/>
        <v/>
      </c>
      <c r="L242" s="3" t="str">
        <f t="shared" si="16"/>
        <v/>
      </c>
      <c r="P242" s="51"/>
    </row>
    <row r="243" spans="2:16" x14ac:dyDescent="0.25">
      <c r="B243" s="7" t="str">
        <f t="shared" si="15"/>
        <v/>
      </c>
      <c r="E243" s="50" t="str">
        <f>IF(C243="","",IFERROR(VLOOKUP(C243,Clientes!$C$2:$D$1000,2,FALSE),"Não definido"))</f>
        <v/>
      </c>
      <c r="K243" s="8" t="str">
        <f t="shared" si="14"/>
        <v/>
      </c>
      <c r="L243" s="3" t="str">
        <f t="shared" si="16"/>
        <v/>
      </c>
      <c r="P243" s="51"/>
    </row>
    <row r="244" spans="2:16" x14ac:dyDescent="0.25">
      <c r="B244" s="7" t="str">
        <f t="shared" si="15"/>
        <v/>
      </c>
      <c r="E244" s="50" t="str">
        <f>IF(C244="","",IFERROR(VLOOKUP(C244,Clientes!$C$2:$D$1000,2,FALSE),"Não definido"))</f>
        <v/>
      </c>
      <c r="K244" s="8" t="str">
        <f t="shared" si="14"/>
        <v/>
      </c>
      <c r="L244" s="3" t="str">
        <f t="shared" si="16"/>
        <v/>
      </c>
      <c r="P244" s="51"/>
    </row>
    <row r="245" spans="2:16" x14ac:dyDescent="0.25">
      <c r="B245" s="7" t="str">
        <f t="shared" si="15"/>
        <v/>
      </c>
      <c r="E245" s="50" t="str">
        <f>IF(C245="","",IFERROR(VLOOKUP(C245,Clientes!$C$2:$D$1000,2,FALSE),"Não definido"))</f>
        <v/>
      </c>
      <c r="K245" s="8" t="str">
        <f t="shared" si="14"/>
        <v/>
      </c>
      <c r="L245" s="3" t="str">
        <f t="shared" si="16"/>
        <v/>
      </c>
      <c r="P245" s="51"/>
    </row>
    <row r="246" spans="2:16" x14ac:dyDescent="0.25">
      <c r="B246" s="7" t="str">
        <f t="shared" si="15"/>
        <v/>
      </c>
      <c r="E246" s="50" t="str">
        <f>IF(C246="","",IFERROR(VLOOKUP(C246,Clientes!$C$2:$D$1000,2,FALSE),"Não definido"))</f>
        <v/>
      </c>
      <c r="K246" s="8" t="str">
        <f t="shared" si="14"/>
        <v/>
      </c>
      <c r="L246" s="3" t="str">
        <f t="shared" si="16"/>
        <v/>
      </c>
      <c r="P246" s="51"/>
    </row>
    <row r="247" spans="2:16" x14ac:dyDescent="0.25">
      <c r="B247" s="7" t="str">
        <f t="shared" si="15"/>
        <v/>
      </c>
      <c r="E247" s="50" t="str">
        <f>IF(C247="","",IFERROR(VLOOKUP(C247,Clientes!$C$2:$D$1000,2,FALSE),"Não definido"))</f>
        <v/>
      </c>
      <c r="K247" s="8" t="str">
        <f t="shared" si="14"/>
        <v/>
      </c>
      <c r="L247" s="3" t="str">
        <f t="shared" si="16"/>
        <v/>
      </c>
      <c r="P247" s="51"/>
    </row>
    <row r="248" spans="2:16" x14ac:dyDescent="0.25">
      <c r="B248" s="7" t="str">
        <f t="shared" si="15"/>
        <v/>
      </c>
      <c r="E248" s="50" t="str">
        <f>IF(C248="","",IFERROR(VLOOKUP(C248,Clientes!$C$2:$D$1000,2,FALSE),"Não definido"))</f>
        <v/>
      </c>
      <c r="K248" s="8" t="str">
        <f t="shared" si="14"/>
        <v/>
      </c>
      <c r="L248" s="3" t="str">
        <f t="shared" si="16"/>
        <v/>
      </c>
      <c r="P248" s="51"/>
    </row>
    <row r="249" spans="2:16" x14ac:dyDescent="0.25">
      <c r="B249" s="7" t="str">
        <f t="shared" si="15"/>
        <v/>
      </c>
      <c r="E249" s="50" t="str">
        <f>IF(C249="","",IFERROR(VLOOKUP(C249,Clientes!$C$2:$D$1000,2,FALSE),"Não definido"))</f>
        <v/>
      </c>
      <c r="K249" s="8" t="str">
        <f t="shared" si="14"/>
        <v/>
      </c>
      <c r="L249" s="3" t="str">
        <f t="shared" si="16"/>
        <v/>
      </c>
      <c r="P249" s="51"/>
    </row>
    <row r="250" spans="2:16" x14ac:dyDescent="0.25">
      <c r="B250" s="7" t="str">
        <f t="shared" si="15"/>
        <v/>
      </c>
      <c r="E250" s="50" t="str">
        <f>IF(C250="","",IFERROR(VLOOKUP(C250,Clientes!$C$2:$D$1000,2,FALSE),"Não definido"))</f>
        <v/>
      </c>
      <c r="K250" s="8" t="str">
        <f t="shared" si="14"/>
        <v/>
      </c>
      <c r="L250" s="3" t="str">
        <f t="shared" si="16"/>
        <v/>
      </c>
      <c r="P250" s="51"/>
    </row>
    <row r="251" spans="2:16" x14ac:dyDescent="0.25">
      <c r="B251" s="7" t="str">
        <f t="shared" si="15"/>
        <v/>
      </c>
      <c r="E251" s="50" t="str">
        <f>IF(C251="","",IFERROR(VLOOKUP(C251,Clientes!$C$2:$D$1000,2,FALSE),"Não definido"))</f>
        <v/>
      </c>
      <c r="K251" s="8" t="str">
        <f t="shared" si="14"/>
        <v/>
      </c>
      <c r="L251" s="3" t="str">
        <f t="shared" si="16"/>
        <v/>
      </c>
      <c r="P251" s="51"/>
    </row>
    <row r="252" spans="2:16" x14ac:dyDescent="0.25">
      <c r="B252" s="7" t="str">
        <f t="shared" si="15"/>
        <v/>
      </c>
      <c r="E252" s="50" t="str">
        <f>IF(C252="","",IFERROR(VLOOKUP(C252,Clientes!$C$2:$D$1000,2,FALSE),"Não definido"))</f>
        <v/>
      </c>
      <c r="K252" s="8" t="str">
        <f t="shared" si="14"/>
        <v/>
      </c>
      <c r="L252" s="3" t="str">
        <f t="shared" si="16"/>
        <v/>
      </c>
      <c r="P252" s="51"/>
    </row>
    <row r="253" spans="2:16" x14ac:dyDescent="0.25">
      <c r="B253" s="7" t="str">
        <f t="shared" si="15"/>
        <v/>
      </c>
      <c r="E253" s="50" t="str">
        <f>IF(C253="","",IFERROR(VLOOKUP(C253,Clientes!$C$2:$D$1000,2,FALSE),"Não definido"))</f>
        <v/>
      </c>
      <c r="K253" s="8" t="str">
        <f t="shared" si="14"/>
        <v/>
      </c>
      <c r="L253" s="3" t="str">
        <f t="shared" si="16"/>
        <v/>
      </c>
      <c r="P253" s="51"/>
    </row>
    <row r="254" spans="2:16" x14ac:dyDescent="0.25">
      <c r="B254" s="7" t="str">
        <f t="shared" si="15"/>
        <v/>
      </c>
      <c r="E254" s="50" t="str">
        <f>IF(C254="","",IFERROR(VLOOKUP(C254,Clientes!$C$2:$D$1000,2,FALSE),"Não definido"))</f>
        <v/>
      </c>
      <c r="K254" s="8" t="str">
        <f t="shared" si="14"/>
        <v/>
      </c>
      <c r="L254" s="3" t="str">
        <f t="shared" si="16"/>
        <v/>
      </c>
      <c r="P254" s="51"/>
    </row>
    <row r="255" spans="2:16" x14ac:dyDescent="0.25">
      <c r="B255" s="7" t="str">
        <f t="shared" si="15"/>
        <v/>
      </c>
      <c r="E255" s="50" t="str">
        <f>IF(C255="","",IFERROR(VLOOKUP(C255,Clientes!$C$2:$D$1000,2,FALSE),"Não definido"))</f>
        <v/>
      </c>
      <c r="K255" s="8" t="str">
        <f t="shared" si="14"/>
        <v/>
      </c>
      <c r="L255" s="3" t="str">
        <f t="shared" si="16"/>
        <v/>
      </c>
      <c r="P255" s="51"/>
    </row>
    <row r="256" spans="2:16" x14ac:dyDescent="0.25">
      <c r="B256" s="7" t="str">
        <f t="shared" si="15"/>
        <v/>
      </c>
      <c r="E256" s="50" t="str">
        <f>IF(C256="","",IFERROR(VLOOKUP(C256,Clientes!$C$2:$D$1000,2,FALSE),"Não definido"))</f>
        <v/>
      </c>
      <c r="K256" s="8" t="str">
        <f t="shared" si="14"/>
        <v/>
      </c>
      <c r="L256" s="3" t="str">
        <f t="shared" si="16"/>
        <v/>
      </c>
      <c r="P256" s="51"/>
    </row>
    <row r="257" spans="2:16" x14ac:dyDescent="0.25">
      <c r="B257" s="7" t="str">
        <f t="shared" si="15"/>
        <v/>
      </c>
      <c r="E257" s="50" t="str">
        <f>IF(C257="","",IFERROR(VLOOKUP(C257,Clientes!$C$2:$D$1000,2,FALSE),"Não definido"))</f>
        <v/>
      </c>
      <c r="K257" s="8" t="str">
        <f t="shared" ref="K257:K320" si="17">IF(H257="","",IFERROR(I257/H257,0))</f>
        <v/>
      </c>
      <c r="L257" s="3" t="str">
        <f t="shared" si="16"/>
        <v/>
      </c>
      <c r="P257" s="51"/>
    </row>
    <row r="258" spans="2:16" x14ac:dyDescent="0.25">
      <c r="B258" s="7" t="str">
        <f t="shared" si="15"/>
        <v/>
      </c>
      <c r="E258" s="50" t="str">
        <f>IF(C258="","",IFERROR(VLOOKUP(C258,Clientes!$C$2:$D$1000,2,FALSE),"Não definido"))</f>
        <v/>
      </c>
      <c r="K258" s="8" t="str">
        <f t="shared" si="17"/>
        <v/>
      </c>
      <c r="L258" s="3" t="str">
        <f t="shared" si="16"/>
        <v/>
      </c>
      <c r="P258" s="51"/>
    </row>
    <row r="259" spans="2:16" x14ac:dyDescent="0.25">
      <c r="B259" s="7" t="str">
        <f t="shared" ref="B259:B322" si="18">IF(A259="","",PROPER(TEXT(A259,"mmmm")))</f>
        <v/>
      </c>
      <c r="E259" s="50" t="str">
        <f>IF(C259="","",IFERROR(VLOOKUP(C259,Clientes!$C$2:$D$1000,2,FALSE),"Não definido"))</f>
        <v/>
      </c>
      <c r="K259" s="8" t="str">
        <f t="shared" si="17"/>
        <v/>
      </c>
      <c r="L259" s="3" t="str">
        <f t="shared" si="16"/>
        <v/>
      </c>
      <c r="P259" s="51"/>
    </row>
    <row r="260" spans="2:16" x14ac:dyDescent="0.25">
      <c r="B260" s="7" t="str">
        <f t="shared" si="18"/>
        <v/>
      </c>
      <c r="E260" s="50" t="str">
        <f>IF(C260="","",IFERROR(VLOOKUP(C260,Clientes!$C$2:$D$1000,2,FALSE),"Não definido"))</f>
        <v/>
      </c>
      <c r="K260" s="8" t="str">
        <f t="shared" si="17"/>
        <v/>
      </c>
      <c r="L260" s="3" t="str">
        <f t="shared" si="16"/>
        <v/>
      </c>
      <c r="P260" s="51"/>
    </row>
    <row r="261" spans="2:16" x14ac:dyDescent="0.25">
      <c r="B261" s="7" t="str">
        <f t="shared" si="18"/>
        <v/>
      </c>
      <c r="E261" s="50" t="str">
        <f>IF(C261="","",IFERROR(VLOOKUP(C261,Clientes!$C$2:$D$1000,2,FALSE),"Não definido"))</f>
        <v/>
      </c>
      <c r="K261" s="8" t="str">
        <f t="shared" si="17"/>
        <v/>
      </c>
      <c r="L261" s="3" t="str">
        <f t="shared" si="16"/>
        <v/>
      </c>
      <c r="P261" s="51"/>
    </row>
    <row r="262" spans="2:16" x14ac:dyDescent="0.25">
      <c r="B262" s="7" t="str">
        <f t="shared" si="18"/>
        <v/>
      </c>
      <c r="E262" s="50" t="str">
        <f>IF(C262="","",IFERROR(VLOOKUP(C262,Clientes!$C$2:$D$1000,2,FALSE),"Não definido"))</f>
        <v/>
      </c>
      <c r="K262" s="8" t="str">
        <f t="shared" si="17"/>
        <v/>
      </c>
      <c r="L262" s="3" t="str">
        <f t="shared" si="16"/>
        <v/>
      </c>
      <c r="P262" s="51"/>
    </row>
    <row r="263" spans="2:16" x14ac:dyDescent="0.25">
      <c r="B263" s="7" t="str">
        <f t="shared" si="18"/>
        <v/>
      </c>
      <c r="E263" s="50" t="str">
        <f>IF(C263="","",IFERROR(VLOOKUP(C263,Clientes!$C$2:$D$1000,2,FALSE),"Não definido"))</f>
        <v/>
      </c>
      <c r="K263" s="8" t="str">
        <f t="shared" si="17"/>
        <v/>
      </c>
      <c r="L263" s="3" t="str">
        <f t="shared" si="16"/>
        <v/>
      </c>
      <c r="P263" s="51"/>
    </row>
    <row r="264" spans="2:16" x14ac:dyDescent="0.25">
      <c r="B264" s="7" t="str">
        <f t="shared" si="18"/>
        <v/>
      </c>
      <c r="E264" s="50" t="str">
        <f>IF(C264="","",IFERROR(VLOOKUP(C264,Clientes!$C$2:$D$1000,2,FALSE),"Não definido"))</f>
        <v/>
      </c>
      <c r="K264" s="8" t="str">
        <f t="shared" si="17"/>
        <v/>
      </c>
      <c r="L264" s="3" t="str">
        <f t="shared" si="16"/>
        <v/>
      </c>
      <c r="P264" s="51"/>
    </row>
    <row r="265" spans="2:16" x14ac:dyDescent="0.25">
      <c r="B265" s="7" t="str">
        <f t="shared" si="18"/>
        <v/>
      </c>
      <c r="E265" s="50" t="str">
        <f>IF(C265="","",IFERROR(VLOOKUP(C265,Clientes!$C$2:$D$1000,2,FALSE),"Não definido"))</f>
        <v/>
      </c>
      <c r="K265" s="8" t="str">
        <f t="shared" si="17"/>
        <v/>
      </c>
      <c r="L265" s="3" t="str">
        <f t="shared" si="16"/>
        <v/>
      </c>
      <c r="P265" s="51"/>
    </row>
    <row r="266" spans="2:16" x14ac:dyDescent="0.25">
      <c r="B266" s="7" t="str">
        <f t="shared" si="18"/>
        <v/>
      </c>
      <c r="E266" s="50" t="str">
        <f>IF(C266="","",IFERROR(VLOOKUP(C266,Clientes!$C$2:$D$1000,2,FALSE),"Não definido"))</f>
        <v/>
      </c>
      <c r="K266" s="8" t="str">
        <f t="shared" si="17"/>
        <v/>
      </c>
      <c r="L266" s="3" t="str">
        <f t="shared" si="16"/>
        <v/>
      </c>
      <c r="P266" s="51"/>
    </row>
    <row r="267" spans="2:16" x14ac:dyDescent="0.25">
      <c r="B267" s="7" t="str">
        <f t="shared" si="18"/>
        <v/>
      </c>
      <c r="E267" s="50" t="str">
        <f>IF(C267="","",IFERROR(VLOOKUP(C267,Clientes!$C$2:$D$1000,2,FALSE),"Não definido"))</f>
        <v/>
      </c>
      <c r="K267" s="8" t="str">
        <f t="shared" si="17"/>
        <v/>
      </c>
      <c r="L267" s="3" t="str">
        <f t="shared" si="16"/>
        <v/>
      </c>
      <c r="P267" s="51"/>
    </row>
    <row r="268" spans="2:16" x14ac:dyDescent="0.25">
      <c r="B268" s="7" t="str">
        <f t="shared" si="18"/>
        <v/>
      </c>
      <c r="E268" s="50" t="str">
        <f>IF(C268="","",IFERROR(VLOOKUP(C268,Clientes!$C$2:$D$1000,2,FALSE),"Não definido"))</f>
        <v/>
      </c>
      <c r="K268" s="8" t="str">
        <f t="shared" si="17"/>
        <v/>
      </c>
      <c r="L268" s="3" t="str">
        <f t="shared" si="16"/>
        <v/>
      </c>
      <c r="P268" s="51"/>
    </row>
    <row r="269" spans="2:16" x14ac:dyDescent="0.25">
      <c r="B269" s="7" t="str">
        <f t="shared" si="18"/>
        <v/>
      </c>
      <c r="E269" s="50" t="str">
        <f>IF(C269="","",IFERROR(VLOOKUP(C269,Clientes!$C$2:$D$1000,2,FALSE),"Não definido"))</f>
        <v/>
      </c>
      <c r="K269" s="8" t="str">
        <f t="shared" si="17"/>
        <v/>
      </c>
      <c r="L269" s="3" t="str">
        <f t="shared" si="16"/>
        <v/>
      </c>
      <c r="P269" s="51"/>
    </row>
    <row r="270" spans="2:16" x14ac:dyDescent="0.25">
      <c r="B270" s="7" t="str">
        <f t="shared" si="18"/>
        <v/>
      </c>
      <c r="E270" s="50" t="str">
        <f>IF(C270="","",IFERROR(VLOOKUP(C270,Clientes!$C$2:$D$1000,2,FALSE),"Não definido"))</f>
        <v/>
      </c>
      <c r="K270" s="8" t="str">
        <f t="shared" si="17"/>
        <v/>
      </c>
      <c r="L270" s="3" t="str">
        <f t="shared" si="16"/>
        <v/>
      </c>
      <c r="P270" s="51"/>
    </row>
    <row r="271" spans="2:16" x14ac:dyDescent="0.25">
      <c r="B271" s="7" t="str">
        <f t="shared" si="18"/>
        <v/>
      </c>
      <c r="E271" s="50" t="str">
        <f>IF(C271="","",IFERROR(VLOOKUP(C271,Clientes!$C$2:$D$1000,2,FALSE),"Não definido"))</f>
        <v/>
      </c>
      <c r="K271" s="8" t="str">
        <f t="shared" si="17"/>
        <v/>
      </c>
      <c r="L271" s="3" t="str">
        <f t="shared" si="16"/>
        <v/>
      </c>
      <c r="P271" s="51"/>
    </row>
    <row r="272" spans="2:16" x14ac:dyDescent="0.25">
      <c r="B272" s="7" t="str">
        <f t="shared" si="18"/>
        <v/>
      </c>
      <c r="E272" s="50" t="str">
        <f>IF(C272="","",IFERROR(VLOOKUP(C272,Clientes!$C$2:$D$1000,2,FALSE),"Não definido"))</f>
        <v/>
      </c>
      <c r="K272" s="8" t="str">
        <f t="shared" si="17"/>
        <v/>
      </c>
      <c r="L272" s="3" t="str">
        <f t="shared" si="16"/>
        <v/>
      </c>
      <c r="P272" s="51"/>
    </row>
    <row r="273" spans="2:16" x14ac:dyDescent="0.25">
      <c r="B273" s="7" t="str">
        <f t="shared" si="18"/>
        <v/>
      </c>
      <c r="E273" s="50" t="str">
        <f>IF(C273="","",IFERROR(VLOOKUP(C273,Clientes!$C$2:$D$1000,2,FALSE),"Não definido"))</f>
        <v/>
      </c>
      <c r="K273" s="8" t="str">
        <f t="shared" si="17"/>
        <v/>
      </c>
      <c r="L273" s="3" t="str">
        <f t="shared" si="16"/>
        <v/>
      </c>
      <c r="P273" s="51"/>
    </row>
    <row r="274" spans="2:16" x14ac:dyDescent="0.25">
      <c r="B274" s="7" t="str">
        <f t="shared" si="18"/>
        <v/>
      </c>
      <c r="E274" s="50" t="str">
        <f>IF(C274="","",IFERROR(VLOOKUP(C274,Clientes!$C$2:$D$1000,2,FALSE),"Não definido"))</f>
        <v/>
      </c>
      <c r="K274" s="8" t="str">
        <f t="shared" si="17"/>
        <v/>
      </c>
      <c r="L274" s="3" t="str">
        <f t="shared" si="16"/>
        <v/>
      </c>
      <c r="P274" s="51"/>
    </row>
    <row r="275" spans="2:16" x14ac:dyDescent="0.25">
      <c r="B275" s="7" t="str">
        <f t="shared" si="18"/>
        <v/>
      </c>
      <c r="E275" s="50" t="str">
        <f>IF(C275="","",IFERROR(VLOOKUP(C275,Clientes!$C$2:$D$1000,2,FALSE),"Não definido"))</f>
        <v/>
      </c>
      <c r="K275" s="8" t="str">
        <f t="shared" si="17"/>
        <v/>
      </c>
      <c r="L275" s="3" t="str">
        <f t="shared" si="16"/>
        <v/>
      </c>
      <c r="P275" s="51"/>
    </row>
    <row r="276" spans="2:16" x14ac:dyDescent="0.25">
      <c r="B276" s="7" t="str">
        <f t="shared" si="18"/>
        <v/>
      </c>
      <c r="E276" s="50" t="str">
        <f>IF(C276="","",IFERROR(VLOOKUP(C276,Clientes!$C$2:$D$1000,2,FALSE),"Não definido"))</f>
        <v/>
      </c>
      <c r="K276" s="8" t="str">
        <f t="shared" si="17"/>
        <v/>
      </c>
      <c r="L276" s="3" t="str">
        <f t="shared" si="16"/>
        <v/>
      </c>
      <c r="P276" s="51"/>
    </row>
    <row r="277" spans="2:16" x14ac:dyDescent="0.25">
      <c r="B277" s="7" t="str">
        <f t="shared" si="18"/>
        <v/>
      </c>
      <c r="E277" s="50" t="str">
        <f>IF(C277="","",IFERROR(VLOOKUP(C277,Clientes!$C$2:$D$1000,2,FALSE),"Não definido"))</f>
        <v/>
      </c>
      <c r="K277" s="8" t="str">
        <f t="shared" si="17"/>
        <v/>
      </c>
      <c r="L277" s="3" t="str">
        <f t="shared" si="16"/>
        <v/>
      </c>
      <c r="P277" s="51"/>
    </row>
    <row r="278" spans="2:16" x14ac:dyDescent="0.25">
      <c r="B278" s="7" t="str">
        <f t="shared" si="18"/>
        <v/>
      </c>
      <c r="E278" s="50" t="str">
        <f>IF(C278="","",IFERROR(VLOOKUP(C278,Clientes!$C$2:$D$1000,2,FALSE),"Não definido"))</f>
        <v/>
      </c>
      <c r="K278" s="8" t="str">
        <f t="shared" si="17"/>
        <v/>
      </c>
      <c r="L278" s="3" t="str">
        <f t="shared" si="16"/>
        <v/>
      </c>
      <c r="P278" s="51"/>
    </row>
    <row r="279" spans="2:16" x14ac:dyDescent="0.25">
      <c r="B279" s="7" t="str">
        <f t="shared" si="18"/>
        <v/>
      </c>
      <c r="E279" s="50" t="str">
        <f>IF(C279="","",IFERROR(VLOOKUP(C279,Clientes!$C$2:$D$1000,2,FALSE),"Não definido"))</f>
        <v/>
      </c>
      <c r="K279" s="8" t="str">
        <f t="shared" si="17"/>
        <v/>
      </c>
      <c r="L279" s="3" t="str">
        <f t="shared" si="16"/>
        <v/>
      </c>
      <c r="P279" s="51"/>
    </row>
    <row r="280" spans="2:16" x14ac:dyDescent="0.25">
      <c r="B280" s="7" t="str">
        <f t="shared" si="18"/>
        <v/>
      </c>
      <c r="E280" s="50" t="str">
        <f>IF(C280="","",IFERROR(VLOOKUP(C280,Clientes!$C$2:$D$1000,2,FALSE),"Não definido"))</f>
        <v/>
      </c>
      <c r="K280" s="8" t="str">
        <f t="shared" si="17"/>
        <v/>
      </c>
      <c r="L280" s="3" t="str">
        <f t="shared" si="16"/>
        <v/>
      </c>
      <c r="P280" s="51"/>
    </row>
    <row r="281" spans="2:16" x14ac:dyDescent="0.25">
      <c r="B281" s="7" t="str">
        <f t="shared" si="18"/>
        <v/>
      </c>
      <c r="E281" s="50" t="str">
        <f>IF(C281="","",IFERROR(VLOOKUP(C281,Clientes!$C$2:$D$1000,2,FALSE),"Não definido"))</f>
        <v/>
      </c>
      <c r="K281" s="8" t="str">
        <f t="shared" si="17"/>
        <v/>
      </c>
      <c r="L281" s="3" t="str">
        <f t="shared" si="16"/>
        <v/>
      </c>
      <c r="P281" s="51"/>
    </row>
    <row r="282" spans="2:16" x14ac:dyDescent="0.25">
      <c r="B282" s="7" t="str">
        <f t="shared" si="18"/>
        <v/>
      </c>
      <c r="E282" s="50" t="str">
        <f>IF(C282="","",IFERROR(VLOOKUP(C282,Clientes!$C$2:$D$1000,2,FALSE),"Não definido"))</f>
        <v/>
      </c>
      <c r="K282" s="8" t="str">
        <f t="shared" si="17"/>
        <v/>
      </c>
      <c r="L282" s="3" t="str">
        <f t="shared" si="16"/>
        <v/>
      </c>
      <c r="P282" s="51"/>
    </row>
    <row r="283" spans="2:16" x14ac:dyDescent="0.25">
      <c r="B283" s="7" t="str">
        <f t="shared" si="18"/>
        <v/>
      </c>
      <c r="E283" s="50" t="str">
        <f>IF(C283="","",IFERROR(VLOOKUP(C283,Clientes!$C$2:$D$1000,2,FALSE),"Não definido"))</f>
        <v/>
      </c>
      <c r="K283" s="8" t="str">
        <f t="shared" si="17"/>
        <v/>
      </c>
      <c r="L283" s="3" t="str">
        <f t="shared" si="16"/>
        <v/>
      </c>
      <c r="P283" s="51"/>
    </row>
    <row r="284" spans="2:16" x14ac:dyDescent="0.25">
      <c r="B284" s="7" t="str">
        <f t="shared" si="18"/>
        <v/>
      </c>
      <c r="E284" s="50" t="str">
        <f>IF(C284="","",IFERROR(VLOOKUP(C284,Clientes!$C$2:$D$1000,2,FALSE),"Não definido"))</f>
        <v/>
      </c>
      <c r="K284" s="8" t="str">
        <f t="shared" si="17"/>
        <v/>
      </c>
      <c r="L284" s="3" t="str">
        <f t="shared" si="16"/>
        <v/>
      </c>
      <c r="P284" s="51"/>
    </row>
    <row r="285" spans="2:16" x14ac:dyDescent="0.25">
      <c r="B285" s="7" t="str">
        <f t="shared" si="18"/>
        <v/>
      </c>
      <c r="E285" s="50" t="str">
        <f>IF(C285="","",IFERROR(VLOOKUP(C285,Clientes!$C$2:$D$1000,2,FALSE),"Não definido"))</f>
        <v/>
      </c>
      <c r="K285" s="8" t="str">
        <f t="shared" si="17"/>
        <v/>
      </c>
      <c r="L285" s="3" t="str">
        <f t="shared" si="16"/>
        <v/>
      </c>
      <c r="P285" s="51"/>
    </row>
    <row r="286" spans="2:16" x14ac:dyDescent="0.25">
      <c r="B286" s="7" t="str">
        <f t="shared" si="18"/>
        <v/>
      </c>
      <c r="E286" s="50" t="str">
        <f>IF(C286="","",IFERROR(VLOOKUP(C286,Clientes!$C$2:$D$1000,2,FALSE),"Não definido"))</f>
        <v/>
      </c>
      <c r="K286" s="8" t="str">
        <f t="shared" si="17"/>
        <v/>
      </c>
      <c r="L286" s="3" t="str">
        <f t="shared" si="16"/>
        <v/>
      </c>
      <c r="P286" s="51"/>
    </row>
    <row r="287" spans="2:16" x14ac:dyDescent="0.25">
      <c r="B287" s="7" t="str">
        <f t="shared" si="18"/>
        <v/>
      </c>
      <c r="E287" s="50" t="str">
        <f>IF(C287="","",IFERROR(VLOOKUP(C287,Clientes!$C$2:$D$1000,2,FALSE),"Não definido"))</f>
        <v/>
      </c>
      <c r="K287" s="8" t="str">
        <f t="shared" si="17"/>
        <v/>
      </c>
      <c r="L287" s="3" t="str">
        <f t="shared" si="16"/>
        <v/>
      </c>
      <c r="P287" s="51"/>
    </row>
    <row r="288" spans="2:16" x14ac:dyDescent="0.25">
      <c r="B288" s="7" t="str">
        <f t="shared" si="18"/>
        <v/>
      </c>
      <c r="E288" s="50" t="str">
        <f>IF(C288="","",IFERROR(VLOOKUP(C288,Clientes!$C$2:$D$1000,2,FALSE),"Não definido"))</f>
        <v/>
      </c>
      <c r="K288" s="8" t="str">
        <f t="shared" si="17"/>
        <v/>
      </c>
      <c r="L288" s="3" t="str">
        <f t="shared" ref="L288:L351" si="19">IF(A288="","",IF(K288&gt;=1,"Concluído",IF(K288&gt;=0.8,"Parcial","Não executado")))</f>
        <v/>
      </c>
      <c r="P288" s="51"/>
    </row>
    <row r="289" spans="2:16" x14ac:dyDescent="0.25">
      <c r="B289" s="7" t="str">
        <f t="shared" si="18"/>
        <v/>
      </c>
      <c r="E289" s="50" t="str">
        <f>IF(C289="","",IFERROR(VLOOKUP(C289,Clientes!$C$2:$D$1000,2,FALSE),"Não definido"))</f>
        <v/>
      </c>
      <c r="K289" s="8" t="str">
        <f t="shared" si="17"/>
        <v/>
      </c>
      <c r="L289" s="3" t="str">
        <f t="shared" si="19"/>
        <v/>
      </c>
      <c r="P289" s="51"/>
    </row>
    <row r="290" spans="2:16" x14ac:dyDescent="0.25">
      <c r="B290" s="7" t="str">
        <f t="shared" si="18"/>
        <v/>
      </c>
      <c r="E290" s="50" t="str">
        <f>IF(C290="","",IFERROR(VLOOKUP(C290,Clientes!$C$2:$D$1000,2,FALSE),"Não definido"))</f>
        <v/>
      </c>
      <c r="K290" s="8" t="str">
        <f t="shared" si="17"/>
        <v/>
      </c>
      <c r="L290" s="3" t="str">
        <f t="shared" si="19"/>
        <v/>
      </c>
      <c r="P290" s="51"/>
    </row>
    <row r="291" spans="2:16" x14ac:dyDescent="0.25">
      <c r="B291" s="7" t="str">
        <f t="shared" si="18"/>
        <v/>
      </c>
      <c r="E291" s="50" t="str">
        <f>IF(C291="","",IFERROR(VLOOKUP(C291,Clientes!$C$2:$D$1000,2,FALSE),"Não definido"))</f>
        <v/>
      </c>
      <c r="K291" s="8" t="str">
        <f t="shared" si="17"/>
        <v/>
      </c>
      <c r="L291" s="3" t="str">
        <f t="shared" si="19"/>
        <v/>
      </c>
      <c r="P291" s="51"/>
    </row>
    <row r="292" spans="2:16" x14ac:dyDescent="0.25">
      <c r="B292" s="7" t="str">
        <f t="shared" si="18"/>
        <v/>
      </c>
      <c r="E292" s="50" t="str">
        <f>IF(C292="","",IFERROR(VLOOKUP(C292,Clientes!$C$2:$D$1000,2,FALSE),"Não definido"))</f>
        <v/>
      </c>
      <c r="K292" s="8" t="str">
        <f t="shared" si="17"/>
        <v/>
      </c>
      <c r="L292" s="3" t="str">
        <f t="shared" si="19"/>
        <v/>
      </c>
      <c r="P292" s="51"/>
    </row>
    <row r="293" spans="2:16" x14ac:dyDescent="0.25">
      <c r="B293" s="7" t="str">
        <f t="shared" si="18"/>
        <v/>
      </c>
      <c r="E293" s="50" t="str">
        <f>IF(C293="","",IFERROR(VLOOKUP(C293,Clientes!$C$2:$D$1000,2,FALSE),"Não definido"))</f>
        <v/>
      </c>
      <c r="K293" s="8" t="str">
        <f t="shared" si="17"/>
        <v/>
      </c>
      <c r="L293" s="3" t="str">
        <f t="shared" si="19"/>
        <v/>
      </c>
      <c r="P293" s="51"/>
    </row>
    <row r="294" spans="2:16" x14ac:dyDescent="0.25">
      <c r="B294" s="7" t="str">
        <f t="shared" si="18"/>
        <v/>
      </c>
      <c r="E294" s="50" t="str">
        <f>IF(C294="","",IFERROR(VLOOKUP(C294,Clientes!$C$2:$D$1000,2,FALSE),"Não definido"))</f>
        <v/>
      </c>
      <c r="K294" s="8" t="str">
        <f t="shared" si="17"/>
        <v/>
      </c>
      <c r="L294" s="3" t="str">
        <f t="shared" si="19"/>
        <v/>
      </c>
      <c r="P294" s="51"/>
    </row>
    <row r="295" spans="2:16" x14ac:dyDescent="0.25">
      <c r="B295" s="7" t="str">
        <f t="shared" si="18"/>
        <v/>
      </c>
      <c r="E295" s="50" t="str">
        <f>IF(C295="","",IFERROR(VLOOKUP(C295,Clientes!$C$2:$D$1000,2,FALSE),"Não definido"))</f>
        <v/>
      </c>
      <c r="K295" s="8" t="str">
        <f t="shared" si="17"/>
        <v/>
      </c>
      <c r="L295" s="3" t="str">
        <f t="shared" si="19"/>
        <v/>
      </c>
      <c r="P295" s="51"/>
    </row>
    <row r="296" spans="2:16" x14ac:dyDescent="0.25">
      <c r="B296" s="7" t="str">
        <f t="shared" si="18"/>
        <v/>
      </c>
      <c r="E296" s="50" t="str">
        <f>IF(C296="","",IFERROR(VLOOKUP(C296,Clientes!$C$2:$D$1000,2,FALSE),"Não definido"))</f>
        <v/>
      </c>
      <c r="K296" s="8" t="str">
        <f t="shared" si="17"/>
        <v/>
      </c>
      <c r="L296" s="3" t="str">
        <f t="shared" si="19"/>
        <v/>
      </c>
      <c r="P296" s="51"/>
    </row>
    <row r="297" spans="2:16" x14ac:dyDescent="0.25">
      <c r="B297" s="7" t="str">
        <f t="shared" si="18"/>
        <v/>
      </c>
      <c r="E297" s="50" t="str">
        <f>IF(C297="","",IFERROR(VLOOKUP(C297,Clientes!$C$2:$D$1000,2,FALSE),"Não definido"))</f>
        <v/>
      </c>
      <c r="K297" s="8" t="str">
        <f t="shared" si="17"/>
        <v/>
      </c>
      <c r="L297" s="3" t="str">
        <f t="shared" si="19"/>
        <v/>
      </c>
      <c r="P297" s="51"/>
    </row>
    <row r="298" spans="2:16" x14ac:dyDescent="0.25">
      <c r="B298" s="7" t="str">
        <f t="shared" si="18"/>
        <v/>
      </c>
      <c r="E298" s="50" t="str">
        <f>IF(C298="","",IFERROR(VLOOKUP(C298,Clientes!$C$2:$D$1000,2,FALSE),"Não definido"))</f>
        <v/>
      </c>
      <c r="K298" s="8" t="str">
        <f t="shared" si="17"/>
        <v/>
      </c>
      <c r="L298" s="3" t="str">
        <f t="shared" si="19"/>
        <v/>
      </c>
      <c r="P298" s="51"/>
    </row>
    <row r="299" spans="2:16" x14ac:dyDescent="0.25">
      <c r="B299" s="7" t="str">
        <f t="shared" si="18"/>
        <v/>
      </c>
      <c r="E299" s="50" t="str">
        <f>IF(C299="","",IFERROR(VLOOKUP(C299,Clientes!$C$2:$D$1000,2,FALSE),"Não definido"))</f>
        <v/>
      </c>
      <c r="K299" s="8" t="str">
        <f t="shared" si="17"/>
        <v/>
      </c>
      <c r="L299" s="3" t="str">
        <f t="shared" si="19"/>
        <v/>
      </c>
      <c r="P299" s="51"/>
    </row>
    <row r="300" spans="2:16" x14ac:dyDescent="0.25">
      <c r="B300" s="7" t="str">
        <f t="shared" si="18"/>
        <v/>
      </c>
      <c r="E300" s="50" t="str">
        <f>IF(C300="","",IFERROR(VLOOKUP(C300,Clientes!$C$2:$D$1000,2,FALSE),"Não definido"))</f>
        <v/>
      </c>
      <c r="K300" s="8" t="str">
        <f t="shared" si="17"/>
        <v/>
      </c>
      <c r="L300" s="3" t="str">
        <f t="shared" si="19"/>
        <v/>
      </c>
      <c r="P300" s="51"/>
    </row>
    <row r="301" spans="2:16" x14ac:dyDescent="0.25">
      <c r="B301" s="7" t="str">
        <f t="shared" si="18"/>
        <v/>
      </c>
      <c r="E301" s="50" t="str">
        <f>IF(C301="","",IFERROR(VLOOKUP(C301,Clientes!$C$2:$D$1000,2,FALSE),"Não definido"))</f>
        <v/>
      </c>
      <c r="K301" s="8" t="str">
        <f t="shared" si="17"/>
        <v/>
      </c>
      <c r="L301" s="3" t="str">
        <f t="shared" si="19"/>
        <v/>
      </c>
      <c r="P301" s="51"/>
    </row>
    <row r="302" spans="2:16" x14ac:dyDescent="0.25">
      <c r="B302" s="7" t="str">
        <f t="shared" si="18"/>
        <v/>
      </c>
      <c r="E302" s="50" t="str">
        <f>IF(C302="","",IFERROR(VLOOKUP(C302,Clientes!$C$2:$D$1000,2,FALSE),"Não definido"))</f>
        <v/>
      </c>
      <c r="K302" s="8" t="str">
        <f t="shared" si="17"/>
        <v/>
      </c>
      <c r="L302" s="3" t="str">
        <f t="shared" si="19"/>
        <v/>
      </c>
      <c r="P302" s="51"/>
    </row>
    <row r="303" spans="2:16" x14ac:dyDescent="0.25">
      <c r="B303" s="7" t="str">
        <f t="shared" si="18"/>
        <v/>
      </c>
      <c r="E303" s="50" t="str">
        <f>IF(C303="","",IFERROR(VLOOKUP(C303,Clientes!$C$2:$D$1000,2,FALSE),"Não definido"))</f>
        <v/>
      </c>
      <c r="K303" s="8" t="str">
        <f t="shared" si="17"/>
        <v/>
      </c>
      <c r="L303" s="3" t="str">
        <f t="shared" si="19"/>
        <v/>
      </c>
      <c r="P303" s="51"/>
    </row>
    <row r="304" spans="2:16" x14ac:dyDescent="0.25">
      <c r="B304" s="7" t="str">
        <f t="shared" si="18"/>
        <v/>
      </c>
      <c r="E304" s="50" t="str">
        <f>IF(C304="","",IFERROR(VLOOKUP(C304,Clientes!$C$2:$D$1000,2,FALSE),"Não definido"))</f>
        <v/>
      </c>
      <c r="K304" s="8" t="str">
        <f t="shared" si="17"/>
        <v/>
      </c>
      <c r="L304" s="3" t="str">
        <f t="shared" si="19"/>
        <v/>
      </c>
      <c r="P304" s="51"/>
    </row>
    <row r="305" spans="2:16" x14ac:dyDescent="0.25">
      <c r="B305" s="7" t="str">
        <f t="shared" si="18"/>
        <v/>
      </c>
      <c r="E305" s="50" t="str">
        <f>IF(C305="","",IFERROR(VLOOKUP(C305,Clientes!$C$2:$D$1000,2,FALSE),"Não definido"))</f>
        <v/>
      </c>
      <c r="K305" s="8" t="str">
        <f t="shared" si="17"/>
        <v/>
      </c>
      <c r="L305" s="3" t="str">
        <f t="shared" si="19"/>
        <v/>
      </c>
      <c r="P305" s="51"/>
    </row>
    <row r="306" spans="2:16" x14ac:dyDescent="0.25">
      <c r="B306" s="7" t="str">
        <f t="shared" si="18"/>
        <v/>
      </c>
      <c r="E306" s="50" t="str">
        <f>IF(C306="","",IFERROR(VLOOKUP(C306,Clientes!$C$2:$D$1000,2,FALSE),"Não definido"))</f>
        <v/>
      </c>
      <c r="K306" s="8" t="str">
        <f t="shared" si="17"/>
        <v/>
      </c>
      <c r="L306" s="3" t="str">
        <f t="shared" si="19"/>
        <v/>
      </c>
      <c r="P306" s="51"/>
    </row>
    <row r="307" spans="2:16" x14ac:dyDescent="0.25">
      <c r="B307" s="7" t="str">
        <f t="shared" si="18"/>
        <v/>
      </c>
      <c r="E307" s="50" t="str">
        <f>IF(C307="","",IFERROR(VLOOKUP(C307,Clientes!$C$2:$D$1000,2,FALSE),"Não definido"))</f>
        <v/>
      </c>
      <c r="K307" s="8" t="str">
        <f t="shared" si="17"/>
        <v/>
      </c>
      <c r="L307" s="3" t="str">
        <f t="shared" si="19"/>
        <v/>
      </c>
      <c r="P307" s="51"/>
    </row>
    <row r="308" spans="2:16" x14ac:dyDescent="0.25">
      <c r="B308" s="7" t="str">
        <f t="shared" si="18"/>
        <v/>
      </c>
      <c r="E308" s="50" t="str">
        <f>IF(C308="","",IFERROR(VLOOKUP(C308,Clientes!$C$2:$D$1000,2,FALSE),"Não definido"))</f>
        <v/>
      </c>
      <c r="K308" s="8" t="str">
        <f t="shared" si="17"/>
        <v/>
      </c>
      <c r="L308" s="3" t="str">
        <f t="shared" si="19"/>
        <v/>
      </c>
      <c r="P308" s="51"/>
    </row>
    <row r="309" spans="2:16" x14ac:dyDescent="0.25">
      <c r="B309" s="7" t="str">
        <f t="shared" si="18"/>
        <v/>
      </c>
      <c r="E309" s="50" t="str">
        <f>IF(C309="","",IFERROR(VLOOKUP(C309,Clientes!$C$2:$D$1000,2,FALSE),"Não definido"))</f>
        <v/>
      </c>
      <c r="K309" s="8" t="str">
        <f t="shared" si="17"/>
        <v/>
      </c>
      <c r="L309" s="3" t="str">
        <f t="shared" si="19"/>
        <v/>
      </c>
      <c r="P309" s="51"/>
    </row>
    <row r="310" spans="2:16" x14ac:dyDescent="0.25">
      <c r="B310" s="7" t="str">
        <f t="shared" si="18"/>
        <v/>
      </c>
      <c r="E310" s="50" t="str">
        <f>IF(C310="","",IFERROR(VLOOKUP(C310,Clientes!$C$2:$D$1000,2,FALSE),"Não definido"))</f>
        <v/>
      </c>
      <c r="K310" s="8" t="str">
        <f t="shared" si="17"/>
        <v/>
      </c>
      <c r="L310" s="3" t="str">
        <f t="shared" si="19"/>
        <v/>
      </c>
      <c r="P310" s="51"/>
    </row>
    <row r="311" spans="2:16" x14ac:dyDescent="0.25">
      <c r="B311" s="7" t="str">
        <f t="shared" si="18"/>
        <v/>
      </c>
      <c r="E311" s="50" t="str">
        <f>IF(C311="","",IFERROR(VLOOKUP(C311,Clientes!$C$2:$D$1000,2,FALSE),"Não definido"))</f>
        <v/>
      </c>
      <c r="K311" s="8" t="str">
        <f t="shared" si="17"/>
        <v/>
      </c>
      <c r="L311" s="3" t="str">
        <f t="shared" si="19"/>
        <v/>
      </c>
      <c r="P311" s="51"/>
    </row>
    <row r="312" spans="2:16" x14ac:dyDescent="0.25">
      <c r="B312" s="7" t="str">
        <f t="shared" si="18"/>
        <v/>
      </c>
      <c r="E312" s="50" t="str">
        <f>IF(C312="","",IFERROR(VLOOKUP(C312,Clientes!$C$2:$D$1000,2,FALSE),"Não definido"))</f>
        <v/>
      </c>
      <c r="K312" s="8" t="str">
        <f t="shared" si="17"/>
        <v/>
      </c>
      <c r="L312" s="3" t="str">
        <f t="shared" si="19"/>
        <v/>
      </c>
      <c r="P312" s="51"/>
    </row>
    <row r="313" spans="2:16" x14ac:dyDescent="0.25">
      <c r="B313" s="7" t="str">
        <f t="shared" si="18"/>
        <v/>
      </c>
      <c r="E313" s="50" t="str">
        <f>IF(C313="","",IFERROR(VLOOKUP(C313,Clientes!$C$2:$D$1000,2,FALSE),"Não definido"))</f>
        <v/>
      </c>
      <c r="K313" s="8" t="str">
        <f t="shared" si="17"/>
        <v/>
      </c>
      <c r="L313" s="3" t="str">
        <f t="shared" si="19"/>
        <v/>
      </c>
      <c r="P313" s="51"/>
    </row>
    <row r="314" spans="2:16" x14ac:dyDescent="0.25">
      <c r="B314" s="7" t="str">
        <f t="shared" si="18"/>
        <v/>
      </c>
      <c r="E314" s="50" t="str">
        <f>IF(C314="","",IFERROR(VLOOKUP(C314,Clientes!$C$2:$D$1000,2,FALSE),"Não definido"))</f>
        <v/>
      </c>
      <c r="K314" s="8" t="str">
        <f t="shared" si="17"/>
        <v/>
      </c>
      <c r="L314" s="3" t="str">
        <f t="shared" si="19"/>
        <v/>
      </c>
      <c r="P314" s="51"/>
    </row>
    <row r="315" spans="2:16" x14ac:dyDescent="0.25">
      <c r="B315" s="7" t="str">
        <f t="shared" si="18"/>
        <v/>
      </c>
      <c r="E315" s="50" t="str">
        <f>IF(C315="","",IFERROR(VLOOKUP(C315,Clientes!$C$2:$D$1000,2,FALSE),"Não definido"))</f>
        <v/>
      </c>
      <c r="K315" s="8" t="str">
        <f t="shared" si="17"/>
        <v/>
      </c>
      <c r="L315" s="3" t="str">
        <f t="shared" si="19"/>
        <v/>
      </c>
      <c r="P315" s="51"/>
    </row>
    <row r="316" spans="2:16" x14ac:dyDescent="0.25">
      <c r="B316" s="7" t="str">
        <f t="shared" si="18"/>
        <v/>
      </c>
      <c r="E316" s="50" t="str">
        <f>IF(C316="","",IFERROR(VLOOKUP(C316,Clientes!$C$2:$D$1000,2,FALSE),"Não definido"))</f>
        <v/>
      </c>
      <c r="K316" s="8" t="str">
        <f t="shared" si="17"/>
        <v/>
      </c>
      <c r="L316" s="3" t="str">
        <f t="shared" si="19"/>
        <v/>
      </c>
      <c r="P316" s="51"/>
    </row>
    <row r="317" spans="2:16" x14ac:dyDescent="0.25">
      <c r="B317" s="7" t="str">
        <f t="shared" si="18"/>
        <v/>
      </c>
      <c r="E317" s="50" t="str">
        <f>IF(C317="","",IFERROR(VLOOKUP(C317,Clientes!$C$2:$D$1000,2,FALSE),"Não definido"))</f>
        <v/>
      </c>
      <c r="K317" s="8" t="str">
        <f t="shared" si="17"/>
        <v/>
      </c>
      <c r="L317" s="3" t="str">
        <f t="shared" si="19"/>
        <v/>
      </c>
      <c r="P317" s="51"/>
    </row>
    <row r="318" spans="2:16" x14ac:dyDescent="0.25">
      <c r="B318" s="7" t="str">
        <f t="shared" si="18"/>
        <v/>
      </c>
      <c r="E318" s="50" t="str">
        <f>IF(C318="","",IFERROR(VLOOKUP(C318,Clientes!$C$2:$D$1000,2,FALSE),"Não definido"))</f>
        <v/>
      </c>
      <c r="K318" s="8" t="str">
        <f t="shared" si="17"/>
        <v/>
      </c>
      <c r="L318" s="3" t="str">
        <f t="shared" si="19"/>
        <v/>
      </c>
      <c r="P318" s="51"/>
    </row>
    <row r="319" spans="2:16" x14ac:dyDescent="0.25">
      <c r="B319" s="7" t="str">
        <f t="shared" si="18"/>
        <v/>
      </c>
      <c r="E319" s="50" t="str">
        <f>IF(C319="","",IFERROR(VLOOKUP(C319,Clientes!$C$2:$D$1000,2,FALSE),"Não definido"))</f>
        <v/>
      </c>
      <c r="K319" s="8" t="str">
        <f t="shared" si="17"/>
        <v/>
      </c>
      <c r="L319" s="3" t="str">
        <f t="shared" si="19"/>
        <v/>
      </c>
      <c r="P319" s="51"/>
    </row>
    <row r="320" spans="2:16" x14ac:dyDescent="0.25">
      <c r="B320" s="7" t="str">
        <f t="shared" si="18"/>
        <v/>
      </c>
      <c r="E320" s="50" t="str">
        <f>IF(C320="","",IFERROR(VLOOKUP(C320,Clientes!$C$2:$D$1000,2,FALSE),"Não definido"))</f>
        <v/>
      </c>
      <c r="K320" s="8" t="str">
        <f t="shared" si="17"/>
        <v/>
      </c>
      <c r="L320" s="3" t="str">
        <f t="shared" si="19"/>
        <v/>
      </c>
      <c r="P320" s="51"/>
    </row>
    <row r="321" spans="2:16" x14ac:dyDescent="0.25">
      <c r="B321" s="7" t="str">
        <f t="shared" si="18"/>
        <v/>
      </c>
      <c r="E321" s="50" t="str">
        <f>IF(C321="","",IFERROR(VLOOKUP(C321,Clientes!$C$2:$D$1000,2,FALSE),"Não definido"))</f>
        <v/>
      </c>
      <c r="K321" s="8" t="str">
        <f t="shared" ref="K321:K384" si="20">IF(H321="","",IFERROR(I321/H321,0))</f>
        <v/>
      </c>
      <c r="L321" s="3" t="str">
        <f t="shared" si="19"/>
        <v/>
      </c>
      <c r="P321" s="51"/>
    </row>
    <row r="322" spans="2:16" x14ac:dyDescent="0.25">
      <c r="B322" s="7" t="str">
        <f t="shared" si="18"/>
        <v/>
      </c>
      <c r="E322" s="50" t="str">
        <f>IF(C322="","",IFERROR(VLOOKUP(C322,Clientes!$C$2:$D$1000,2,FALSE),"Não definido"))</f>
        <v/>
      </c>
      <c r="K322" s="8" t="str">
        <f t="shared" si="20"/>
        <v/>
      </c>
      <c r="L322" s="3" t="str">
        <f t="shared" si="19"/>
        <v/>
      </c>
      <c r="P322" s="51"/>
    </row>
    <row r="323" spans="2:16" x14ac:dyDescent="0.25">
      <c r="B323" s="7" t="str">
        <f t="shared" ref="B323:B386" si="21">IF(A323="","",PROPER(TEXT(A323,"mmmm")))</f>
        <v/>
      </c>
      <c r="E323" s="50" t="str">
        <f>IF(C323="","",IFERROR(VLOOKUP(C323,Clientes!$C$2:$D$1000,2,FALSE),"Não definido"))</f>
        <v/>
      </c>
      <c r="K323" s="8" t="str">
        <f t="shared" si="20"/>
        <v/>
      </c>
      <c r="L323" s="3" t="str">
        <f t="shared" si="19"/>
        <v/>
      </c>
      <c r="P323" s="51"/>
    </row>
    <row r="324" spans="2:16" x14ac:dyDescent="0.25">
      <c r="B324" s="7" t="str">
        <f t="shared" si="21"/>
        <v/>
      </c>
      <c r="E324" s="50" t="str">
        <f>IF(C324="","",IFERROR(VLOOKUP(C324,Clientes!$C$2:$D$1000,2,FALSE),"Não definido"))</f>
        <v/>
      </c>
      <c r="K324" s="8" t="str">
        <f t="shared" si="20"/>
        <v/>
      </c>
      <c r="L324" s="3" t="str">
        <f t="shared" si="19"/>
        <v/>
      </c>
      <c r="P324" s="51"/>
    </row>
    <row r="325" spans="2:16" x14ac:dyDescent="0.25">
      <c r="B325" s="7" t="str">
        <f t="shared" si="21"/>
        <v/>
      </c>
      <c r="E325" s="50" t="str">
        <f>IF(C325="","",IFERROR(VLOOKUP(C325,Clientes!$C$2:$D$1000,2,FALSE),"Não definido"))</f>
        <v/>
      </c>
      <c r="K325" s="8" t="str">
        <f t="shared" si="20"/>
        <v/>
      </c>
      <c r="L325" s="3" t="str">
        <f t="shared" si="19"/>
        <v/>
      </c>
      <c r="P325" s="51"/>
    </row>
    <row r="326" spans="2:16" x14ac:dyDescent="0.25">
      <c r="B326" s="7" t="str">
        <f t="shared" si="21"/>
        <v/>
      </c>
      <c r="E326" s="50" t="str">
        <f>IF(C326="","",IFERROR(VLOOKUP(C326,Clientes!$C$2:$D$1000,2,FALSE),"Não definido"))</f>
        <v/>
      </c>
      <c r="K326" s="8" t="str">
        <f t="shared" si="20"/>
        <v/>
      </c>
      <c r="L326" s="3" t="str">
        <f t="shared" si="19"/>
        <v/>
      </c>
      <c r="P326" s="51"/>
    </row>
    <row r="327" spans="2:16" x14ac:dyDescent="0.25">
      <c r="B327" s="7" t="str">
        <f t="shared" si="21"/>
        <v/>
      </c>
      <c r="E327" s="50" t="str">
        <f>IF(C327="","",IFERROR(VLOOKUP(C327,Clientes!$C$2:$D$1000,2,FALSE),"Não definido"))</f>
        <v/>
      </c>
      <c r="K327" s="8" t="str">
        <f t="shared" si="20"/>
        <v/>
      </c>
      <c r="L327" s="3" t="str">
        <f t="shared" si="19"/>
        <v/>
      </c>
      <c r="P327" s="51"/>
    </row>
    <row r="328" spans="2:16" x14ac:dyDescent="0.25">
      <c r="B328" s="7" t="str">
        <f t="shared" si="21"/>
        <v/>
      </c>
      <c r="E328" s="50" t="str">
        <f>IF(C328="","",IFERROR(VLOOKUP(C328,Clientes!$C$2:$D$1000,2,FALSE),"Não definido"))</f>
        <v/>
      </c>
      <c r="K328" s="8" t="str">
        <f t="shared" si="20"/>
        <v/>
      </c>
      <c r="L328" s="3" t="str">
        <f t="shared" si="19"/>
        <v/>
      </c>
      <c r="P328" s="51"/>
    </row>
    <row r="329" spans="2:16" x14ac:dyDescent="0.25">
      <c r="B329" s="7" t="str">
        <f t="shared" si="21"/>
        <v/>
      </c>
      <c r="E329" s="50" t="str">
        <f>IF(C329="","",IFERROR(VLOOKUP(C329,Clientes!$C$2:$D$1000,2,FALSE),"Não definido"))</f>
        <v/>
      </c>
      <c r="K329" s="8" t="str">
        <f t="shared" si="20"/>
        <v/>
      </c>
      <c r="L329" s="3" t="str">
        <f t="shared" si="19"/>
        <v/>
      </c>
      <c r="P329" s="51"/>
    </row>
    <row r="330" spans="2:16" x14ac:dyDescent="0.25">
      <c r="B330" s="7" t="str">
        <f t="shared" si="21"/>
        <v/>
      </c>
      <c r="E330" s="50" t="str">
        <f>IF(C330="","",IFERROR(VLOOKUP(C330,Clientes!$C$2:$D$1000,2,FALSE),"Não definido"))</f>
        <v/>
      </c>
      <c r="K330" s="8" t="str">
        <f t="shared" si="20"/>
        <v/>
      </c>
      <c r="L330" s="3" t="str">
        <f t="shared" si="19"/>
        <v/>
      </c>
      <c r="P330" s="51"/>
    </row>
    <row r="331" spans="2:16" x14ac:dyDescent="0.25">
      <c r="B331" s="7" t="str">
        <f t="shared" si="21"/>
        <v/>
      </c>
      <c r="E331" s="50" t="str">
        <f>IF(C331="","",IFERROR(VLOOKUP(C331,Clientes!$C$2:$D$1000,2,FALSE),"Não definido"))</f>
        <v/>
      </c>
      <c r="K331" s="8" t="str">
        <f t="shared" si="20"/>
        <v/>
      </c>
      <c r="L331" s="3" t="str">
        <f t="shared" si="19"/>
        <v/>
      </c>
      <c r="P331" s="51"/>
    </row>
    <row r="332" spans="2:16" x14ac:dyDescent="0.25">
      <c r="B332" s="7" t="str">
        <f t="shared" si="21"/>
        <v/>
      </c>
      <c r="E332" s="50" t="str">
        <f>IF(C332="","",IFERROR(VLOOKUP(C332,Clientes!$C$2:$D$1000,2,FALSE),"Não definido"))</f>
        <v/>
      </c>
      <c r="K332" s="8" t="str">
        <f t="shared" si="20"/>
        <v/>
      </c>
      <c r="L332" s="3" t="str">
        <f t="shared" si="19"/>
        <v/>
      </c>
      <c r="P332" s="51"/>
    </row>
    <row r="333" spans="2:16" x14ac:dyDescent="0.25">
      <c r="B333" s="7" t="str">
        <f t="shared" si="21"/>
        <v/>
      </c>
      <c r="E333" s="50" t="str">
        <f>IF(C333="","",IFERROR(VLOOKUP(C333,Clientes!$C$2:$D$1000,2,FALSE),"Não definido"))</f>
        <v/>
      </c>
      <c r="K333" s="8" t="str">
        <f t="shared" si="20"/>
        <v/>
      </c>
      <c r="L333" s="3" t="str">
        <f t="shared" si="19"/>
        <v/>
      </c>
      <c r="P333" s="51"/>
    </row>
    <row r="334" spans="2:16" x14ac:dyDescent="0.25">
      <c r="B334" s="7" t="str">
        <f t="shared" si="21"/>
        <v/>
      </c>
      <c r="E334" s="50" t="str">
        <f>IF(C334="","",IFERROR(VLOOKUP(C334,Clientes!$C$2:$D$1000,2,FALSE),"Não definido"))</f>
        <v/>
      </c>
      <c r="K334" s="8" t="str">
        <f t="shared" si="20"/>
        <v/>
      </c>
      <c r="L334" s="3" t="str">
        <f t="shared" si="19"/>
        <v/>
      </c>
      <c r="P334" s="51"/>
    </row>
    <row r="335" spans="2:16" x14ac:dyDescent="0.25">
      <c r="B335" s="7" t="str">
        <f t="shared" si="21"/>
        <v/>
      </c>
      <c r="E335" s="50" t="str">
        <f>IF(C335="","",IFERROR(VLOOKUP(C335,Clientes!$C$2:$D$1000,2,FALSE),"Não definido"))</f>
        <v/>
      </c>
      <c r="K335" s="8" t="str">
        <f t="shared" si="20"/>
        <v/>
      </c>
      <c r="L335" s="3" t="str">
        <f t="shared" si="19"/>
        <v/>
      </c>
      <c r="P335" s="51"/>
    </row>
    <row r="336" spans="2:16" x14ac:dyDescent="0.25">
      <c r="B336" s="7" t="str">
        <f t="shared" si="21"/>
        <v/>
      </c>
      <c r="E336" s="50" t="str">
        <f>IF(C336="","",IFERROR(VLOOKUP(C336,Clientes!$C$2:$D$1000,2,FALSE),"Não definido"))</f>
        <v/>
      </c>
      <c r="K336" s="8" t="str">
        <f t="shared" si="20"/>
        <v/>
      </c>
      <c r="L336" s="3" t="str">
        <f t="shared" si="19"/>
        <v/>
      </c>
      <c r="P336" s="51"/>
    </row>
    <row r="337" spans="2:16" x14ac:dyDescent="0.25">
      <c r="B337" s="7" t="str">
        <f t="shared" si="21"/>
        <v/>
      </c>
      <c r="E337" s="50" t="str">
        <f>IF(C337="","",IFERROR(VLOOKUP(C337,Clientes!$C$2:$D$1000,2,FALSE),"Não definido"))</f>
        <v/>
      </c>
      <c r="K337" s="8" t="str">
        <f t="shared" si="20"/>
        <v/>
      </c>
      <c r="L337" s="3" t="str">
        <f t="shared" si="19"/>
        <v/>
      </c>
      <c r="P337" s="51"/>
    </row>
    <row r="338" spans="2:16" x14ac:dyDescent="0.25">
      <c r="B338" s="7" t="str">
        <f t="shared" si="21"/>
        <v/>
      </c>
      <c r="E338" s="50" t="str">
        <f>IF(C338="","",IFERROR(VLOOKUP(C338,Clientes!$C$2:$D$1000,2,FALSE),"Não definido"))</f>
        <v/>
      </c>
      <c r="K338" s="8" t="str">
        <f t="shared" si="20"/>
        <v/>
      </c>
      <c r="L338" s="3" t="str">
        <f t="shared" si="19"/>
        <v/>
      </c>
      <c r="P338" s="51"/>
    </row>
    <row r="339" spans="2:16" x14ac:dyDescent="0.25">
      <c r="B339" s="7" t="str">
        <f t="shared" si="21"/>
        <v/>
      </c>
      <c r="E339" s="50" t="str">
        <f>IF(C339="","",IFERROR(VLOOKUP(C339,Clientes!$C$2:$D$1000,2,FALSE),"Não definido"))</f>
        <v/>
      </c>
      <c r="K339" s="8" t="str">
        <f t="shared" si="20"/>
        <v/>
      </c>
      <c r="L339" s="3" t="str">
        <f t="shared" si="19"/>
        <v/>
      </c>
      <c r="P339" s="51"/>
    </row>
    <row r="340" spans="2:16" x14ac:dyDescent="0.25">
      <c r="B340" s="7" t="str">
        <f t="shared" si="21"/>
        <v/>
      </c>
      <c r="E340" s="50" t="str">
        <f>IF(C340="","",IFERROR(VLOOKUP(C340,Clientes!$C$2:$D$1000,2,FALSE),"Não definido"))</f>
        <v/>
      </c>
      <c r="K340" s="8" t="str">
        <f t="shared" si="20"/>
        <v/>
      </c>
      <c r="L340" s="3" t="str">
        <f t="shared" si="19"/>
        <v/>
      </c>
      <c r="P340" s="51"/>
    </row>
    <row r="341" spans="2:16" x14ac:dyDescent="0.25">
      <c r="B341" s="7" t="str">
        <f t="shared" si="21"/>
        <v/>
      </c>
      <c r="E341" s="50" t="str">
        <f>IF(C341="","",IFERROR(VLOOKUP(C341,Clientes!$C$2:$D$1000,2,FALSE),"Não definido"))</f>
        <v/>
      </c>
      <c r="K341" s="8" t="str">
        <f t="shared" si="20"/>
        <v/>
      </c>
      <c r="L341" s="3" t="str">
        <f t="shared" si="19"/>
        <v/>
      </c>
      <c r="P341" s="51"/>
    </row>
    <row r="342" spans="2:16" x14ac:dyDescent="0.25">
      <c r="B342" s="7" t="str">
        <f t="shared" si="21"/>
        <v/>
      </c>
      <c r="E342" s="50" t="str">
        <f>IF(C342="","",IFERROR(VLOOKUP(C342,Clientes!$C$2:$D$1000,2,FALSE),"Não definido"))</f>
        <v/>
      </c>
      <c r="K342" s="8" t="str">
        <f t="shared" si="20"/>
        <v/>
      </c>
      <c r="L342" s="3" t="str">
        <f t="shared" si="19"/>
        <v/>
      </c>
      <c r="P342" s="51"/>
    </row>
    <row r="343" spans="2:16" x14ac:dyDescent="0.25">
      <c r="B343" s="7" t="str">
        <f t="shared" si="21"/>
        <v/>
      </c>
      <c r="E343" s="50" t="str">
        <f>IF(C343="","",IFERROR(VLOOKUP(C343,Clientes!$C$2:$D$1000,2,FALSE),"Não definido"))</f>
        <v/>
      </c>
      <c r="K343" s="8" t="str">
        <f t="shared" si="20"/>
        <v/>
      </c>
      <c r="L343" s="3" t="str">
        <f t="shared" si="19"/>
        <v/>
      </c>
      <c r="P343" s="51"/>
    </row>
    <row r="344" spans="2:16" x14ac:dyDescent="0.25">
      <c r="B344" s="7" t="str">
        <f t="shared" si="21"/>
        <v/>
      </c>
      <c r="E344" s="50" t="str">
        <f>IF(C344="","",IFERROR(VLOOKUP(C344,Clientes!$C$2:$D$1000,2,FALSE),"Não definido"))</f>
        <v/>
      </c>
      <c r="K344" s="8" t="str">
        <f t="shared" si="20"/>
        <v/>
      </c>
      <c r="L344" s="3" t="str">
        <f t="shared" si="19"/>
        <v/>
      </c>
      <c r="P344" s="51"/>
    </row>
    <row r="345" spans="2:16" x14ac:dyDescent="0.25">
      <c r="B345" s="7" t="str">
        <f t="shared" si="21"/>
        <v/>
      </c>
      <c r="E345" s="50" t="str">
        <f>IF(C345="","",IFERROR(VLOOKUP(C345,Clientes!$C$2:$D$1000,2,FALSE),"Não definido"))</f>
        <v/>
      </c>
      <c r="K345" s="8" t="str">
        <f t="shared" si="20"/>
        <v/>
      </c>
      <c r="L345" s="3" t="str">
        <f t="shared" si="19"/>
        <v/>
      </c>
      <c r="P345" s="51"/>
    </row>
    <row r="346" spans="2:16" x14ac:dyDescent="0.25">
      <c r="B346" s="7" t="str">
        <f t="shared" si="21"/>
        <v/>
      </c>
      <c r="E346" s="50" t="str">
        <f>IF(C346="","",IFERROR(VLOOKUP(C346,Clientes!$C$2:$D$1000,2,FALSE),"Não definido"))</f>
        <v/>
      </c>
      <c r="K346" s="8" t="str">
        <f t="shared" si="20"/>
        <v/>
      </c>
      <c r="L346" s="3" t="str">
        <f t="shared" si="19"/>
        <v/>
      </c>
      <c r="P346" s="51"/>
    </row>
    <row r="347" spans="2:16" x14ac:dyDescent="0.25">
      <c r="B347" s="7" t="str">
        <f t="shared" si="21"/>
        <v/>
      </c>
      <c r="E347" s="50" t="str">
        <f>IF(C347="","",IFERROR(VLOOKUP(C347,Clientes!$C$2:$D$1000,2,FALSE),"Não definido"))</f>
        <v/>
      </c>
      <c r="K347" s="8" t="str">
        <f t="shared" si="20"/>
        <v/>
      </c>
      <c r="L347" s="3" t="str">
        <f t="shared" si="19"/>
        <v/>
      </c>
      <c r="P347" s="51"/>
    </row>
    <row r="348" spans="2:16" x14ac:dyDescent="0.25">
      <c r="B348" s="7" t="str">
        <f t="shared" si="21"/>
        <v/>
      </c>
      <c r="E348" s="50" t="str">
        <f>IF(C348="","",IFERROR(VLOOKUP(C348,Clientes!$C$2:$D$1000,2,FALSE),"Não definido"))</f>
        <v/>
      </c>
      <c r="K348" s="8" t="str">
        <f t="shared" si="20"/>
        <v/>
      </c>
      <c r="L348" s="3" t="str">
        <f t="shared" si="19"/>
        <v/>
      </c>
      <c r="P348" s="51"/>
    </row>
    <row r="349" spans="2:16" x14ac:dyDescent="0.25">
      <c r="B349" s="7" t="str">
        <f t="shared" si="21"/>
        <v/>
      </c>
      <c r="E349" s="50" t="str">
        <f>IF(C349="","",IFERROR(VLOOKUP(C349,Clientes!$C$2:$D$1000,2,FALSE),"Não definido"))</f>
        <v/>
      </c>
      <c r="K349" s="8" t="str">
        <f t="shared" si="20"/>
        <v/>
      </c>
      <c r="L349" s="3" t="str">
        <f t="shared" si="19"/>
        <v/>
      </c>
      <c r="P349" s="51"/>
    </row>
    <row r="350" spans="2:16" x14ac:dyDescent="0.25">
      <c r="B350" s="7" t="str">
        <f t="shared" si="21"/>
        <v/>
      </c>
      <c r="E350" s="50" t="str">
        <f>IF(C350="","",IFERROR(VLOOKUP(C350,Clientes!$C$2:$D$1000,2,FALSE),"Não definido"))</f>
        <v/>
      </c>
      <c r="K350" s="8" t="str">
        <f t="shared" si="20"/>
        <v/>
      </c>
      <c r="L350" s="3" t="str">
        <f t="shared" si="19"/>
        <v/>
      </c>
      <c r="P350" s="51"/>
    </row>
    <row r="351" spans="2:16" x14ac:dyDescent="0.25">
      <c r="B351" s="7" t="str">
        <f t="shared" si="21"/>
        <v/>
      </c>
      <c r="E351" s="50" t="str">
        <f>IF(C351="","",IFERROR(VLOOKUP(C351,Clientes!$C$2:$D$1000,2,FALSE),"Não definido"))</f>
        <v/>
      </c>
      <c r="K351" s="8" t="str">
        <f t="shared" si="20"/>
        <v/>
      </c>
      <c r="L351" s="3" t="str">
        <f t="shared" si="19"/>
        <v/>
      </c>
      <c r="P351" s="51"/>
    </row>
    <row r="352" spans="2:16" x14ac:dyDescent="0.25">
      <c r="B352" s="7" t="str">
        <f t="shared" si="21"/>
        <v/>
      </c>
      <c r="E352" s="50" t="str">
        <f>IF(C352="","",IFERROR(VLOOKUP(C352,Clientes!$C$2:$D$1000,2,FALSE),"Não definido"))</f>
        <v/>
      </c>
      <c r="K352" s="8" t="str">
        <f t="shared" si="20"/>
        <v/>
      </c>
      <c r="L352" s="3" t="str">
        <f t="shared" ref="L352:L415" si="22">IF(A352="","",IF(K352&gt;=1,"Concluído",IF(K352&gt;=0.8,"Parcial","Não executado")))</f>
        <v/>
      </c>
      <c r="P352" s="51"/>
    </row>
    <row r="353" spans="2:16" x14ac:dyDescent="0.25">
      <c r="B353" s="7" t="str">
        <f t="shared" si="21"/>
        <v/>
      </c>
      <c r="E353" s="50" t="str">
        <f>IF(C353="","",IFERROR(VLOOKUP(C353,Clientes!$C$2:$D$1000,2,FALSE),"Não definido"))</f>
        <v/>
      </c>
      <c r="K353" s="8" t="str">
        <f t="shared" si="20"/>
        <v/>
      </c>
      <c r="L353" s="3" t="str">
        <f t="shared" si="22"/>
        <v/>
      </c>
      <c r="P353" s="51"/>
    </row>
    <row r="354" spans="2:16" x14ac:dyDescent="0.25">
      <c r="B354" s="7" t="str">
        <f t="shared" si="21"/>
        <v/>
      </c>
      <c r="E354" s="50" t="str">
        <f>IF(C354="","",IFERROR(VLOOKUP(C354,Clientes!$C$2:$D$1000,2,FALSE),"Não definido"))</f>
        <v/>
      </c>
      <c r="K354" s="8" t="str">
        <f t="shared" si="20"/>
        <v/>
      </c>
      <c r="L354" s="3" t="str">
        <f t="shared" si="22"/>
        <v/>
      </c>
      <c r="P354" s="51"/>
    </row>
    <row r="355" spans="2:16" x14ac:dyDescent="0.25">
      <c r="B355" s="7" t="str">
        <f t="shared" si="21"/>
        <v/>
      </c>
      <c r="E355" s="50" t="str">
        <f>IF(C355="","",IFERROR(VLOOKUP(C355,Clientes!$C$2:$D$1000,2,FALSE),"Não definido"))</f>
        <v/>
      </c>
      <c r="K355" s="8" t="str">
        <f t="shared" si="20"/>
        <v/>
      </c>
      <c r="L355" s="3" t="str">
        <f t="shared" si="22"/>
        <v/>
      </c>
      <c r="P355" s="51"/>
    </row>
    <row r="356" spans="2:16" x14ac:dyDescent="0.25">
      <c r="B356" s="7" t="str">
        <f t="shared" si="21"/>
        <v/>
      </c>
      <c r="E356" s="50" t="str">
        <f>IF(C356="","",IFERROR(VLOOKUP(C356,Clientes!$C$2:$D$1000,2,FALSE),"Não definido"))</f>
        <v/>
      </c>
      <c r="K356" s="8" t="str">
        <f t="shared" si="20"/>
        <v/>
      </c>
      <c r="L356" s="3" t="str">
        <f t="shared" si="22"/>
        <v/>
      </c>
      <c r="P356" s="51"/>
    </row>
    <row r="357" spans="2:16" x14ac:dyDescent="0.25">
      <c r="B357" s="7" t="str">
        <f t="shared" si="21"/>
        <v/>
      </c>
      <c r="E357" s="50" t="str">
        <f>IF(C357="","",IFERROR(VLOOKUP(C357,Clientes!$C$2:$D$1000,2,FALSE),"Não definido"))</f>
        <v/>
      </c>
      <c r="K357" s="8" t="str">
        <f t="shared" si="20"/>
        <v/>
      </c>
      <c r="L357" s="3" t="str">
        <f t="shared" si="22"/>
        <v/>
      </c>
      <c r="P357" s="51"/>
    </row>
    <row r="358" spans="2:16" x14ac:dyDescent="0.25">
      <c r="B358" s="7" t="str">
        <f t="shared" si="21"/>
        <v/>
      </c>
      <c r="E358" s="50" t="str">
        <f>IF(C358="","",IFERROR(VLOOKUP(C358,Clientes!$C$2:$D$1000,2,FALSE),"Não definido"))</f>
        <v/>
      </c>
      <c r="K358" s="8" t="str">
        <f t="shared" si="20"/>
        <v/>
      </c>
      <c r="L358" s="3" t="str">
        <f t="shared" si="22"/>
        <v/>
      </c>
      <c r="P358" s="51"/>
    </row>
    <row r="359" spans="2:16" x14ac:dyDescent="0.25">
      <c r="B359" s="7" t="str">
        <f t="shared" si="21"/>
        <v/>
      </c>
      <c r="E359" s="50" t="str">
        <f>IF(C359="","",IFERROR(VLOOKUP(C359,Clientes!$C$2:$D$1000,2,FALSE),"Não definido"))</f>
        <v/>
      </c>
      <c r="K359" s="8" t="str">
        <f t="shared" si="20"/>
        <v/>
      </c>
      <c r="L359" s="3" t="str">
        <f t="shared" si="22"/>
        <v/>
      </c>
      <c r="P359" s="51"/>
    </row>
    <row r="360" spans="2:16" x14ac:dyDescent="0.25">
      <c r="B360" s="7" t="str">
        <f t="shared" si="21"/>
        <v/>
      </c>
      <c r="E360" s="50" t="str">
        <f>IF(C360="","",IFERROR(VLOOKUP(C360,Clientes!$C$2:$D$1000,2,FALSE),"Não definido"))</f>
        <v/>
      </c>
      <c r="K360" s="8" t="str">
        <f t="shared" si="20"/>
        <v/>
      </c>
      <c r="L360" s="3" t="str">
        <f t="shared" si="22"/>
        <v/>
      </c>
      <c r="P360" s="51"/>
    </row>
    <row r="361" spans="2:16" x14ac:dyDescent="0.25">
      <c r="B361" s="7" t="str">
        <f t="shared" si="21"/>
        <v/>
      </c>
      <c r="E361" s="50" t="str">
        <f>IF(C361="","",IFERROR(VLOOKUP(C361,Clientes!$C$2:$D$1000,2,FALSE),"Não definido"))</f>
        <v/>
      </c>
      <c r="K361" s="8" t="str">
        <f t="shared" si="20"/>
        <v/>
      </c>
      <c r="L361" s="3" t="str">
        <f t="shared" si="22"/>
        <v/>
      </c>
      <c r="P361" s="51"/>
    </row>
    <row r="362" spans="2:16" x14ac:dyDescent="0.25">
      <c r="B362" s="7" t="str">
        <f t="shared" si="21"/>
        <v/>
      </c>
      <c r="E362" s="50" t="str">
        <f>IF(C362="","",IFERROR(VLOOKUP(C362,Clientes!$C$2:$D$1000,2,FALSE),"Não definido"))</f>
        <v/>
      </c>
      <c r="K362" s="8" t="str">
        <f t="shared" si="20"/>
        <v/>
      </c>
      <c r="L362" s="3" t="str">
        <f t="shared" si="22"/>
        <v/>
      </c>
      <c r="P362" s="51"/>
    </row>
    <row r="363" spans="2:16" x14ac:dyDescent="0.25">
      <c r="B363" s="7" t="str">
        <f t="shared" si="21"/>
        <v/>
      </c>
      <c r="E363" s="50" t="str">
        <f>IF(C363="","",IFERROR(VLOOKUP(C363,Clientes!$C$2:$D$1000,2,FALSE),"Não definido"))</f>
        <v/>
      </c>
      <c r="K363" s="8" t="str">
        <f t="shared" si="20"/>
        <v/>
      </c>
      <c r="L363" s="3" t="str">
        <f t="shared" si="22"/>
        <v/>
      </c>
      <c r="P363" s="51"/>
    </row>
    <row r="364" spans="2:16" x14ac:dyDescent="0.25">
      <c r="B364" s="7" t="str">
        <f t="shared" si="21"/>
        <v/>
      </c>
      <c r="E364" s="50" t="str">
        <f>IF(C364="","",IFERROR(VLOOKUP(C364,Clientes!$C$2:$D$1000,2,FALSE),"Não definido"))</f>
        <v/>
      </c>
      <c r="K364" s="8" t="str">
        <f t="shared" si="20"/>
        <v/>
      </c>
      <c r="L364" s="3" t="str">
        <f t="shared" si="22"/>
        <v/>
      </c>
      <c r="P364" s="51"/>
    </row>
    <row r="365" spans="2:16" x14ac:dyDescent="0.25">
      <c r="B365" s="7" t="str">
        <f t="shared" si="21"/>
        <v/>
      </c>
      <c r="E365" s="50" t="str">
        <f>IF(C365="","",IFERROR(VLOOKUP(C365,Clientes!$C$2:$D$1000,2,FALSE),"Não definido"))</f>
        <v/>
      </c>
      <c r="K365" s="8" t="str">
        <f t="shared" si="20"/>
        <v/>
      </c>
      <c r="L365" s="3" t="str">
        <f t="shared" si="22"/>
        <v/>
      </c>
      <c r="P365" s="51"/>
    </row>
    <row r="366" spans="2:16" x14ac:dyDescent="0.25">
      <c r="B366" s="7" t="str">
        <f t="shared" si="21"/>
        <v/>
      </c>
      <c r="E366" s="50" t="str">
        <f>IF(C366="","",IFERROR(VLOOKUP(C366,Clientes!$C$2:$D$1000,2,FALSE),"Não definido"))</f>
        <v/>
      </c>
      <c r="K366" s="8" t="str">
        <f t="shared" si="20"/>
        <v/>
      </c>
      <c r="L366" s="3" t="str">
        <f t="shared" si="22"/>
        <v/>
      </c>
      <c r="P366" s="51"/>
    </row>
    <row r="367" spans="2:16" x14ac:dyDescent="0.25">
      <c r="B367" s="7" t="str">
        <f t="shared" si="21"/>
        <v/>
      </c>
      <c r="E367" s="50" t="str">
        <f>IF(C367="","",IFERROR(VLOOKUP(C367,Clientes!$C$2:$D$1000,2,FALSE),"Não definido"))</f>
        <v/>
      </c>
      <c r="K367" s="8" t="str">
        <f t="shared" si="20"/>
        <v/>
      </c>
      <c r="L367" s="3" t="str">
        <f t="shared" si="22"/>
        <v/>
      </c>
      <c r="P367" s="51"/>
    </row>
    <row r="368" spans="2:16" x14ac:dyDescent="0.25">
      <c r="B368" s="7" t="str">
        <f t="shared" si="21"/>
        <v/>
      </c>
      <c r="E368" s="50" t="str">
        <f>IF(C368="","",IFERROR(VLOOKUP(C368,Clientes!$C$2:$D$1000,2,FALSE),"Não definido"))</f>
        <v/>
      </c>
      <c r="K368" s="8" t="str">
        <f t="shared" si="20"/>
        <v/>
      </c>
      <c r="L368" s="3" t="str">
        <f t="shared" si="22"/>
        <v/>
      </c>
      <c r="P368" s="51"/>
    </row>
    <row r="369" spans="2:16" x14ac:dyDescent="0.25">
      <c r="B369" s="7" t="str">
        <f t="shared" si="21"/>
        <v/>
      </c>
      <c r="E369" s="50" t="str">
        <f>IF(C369="","",IFERROR(VLOOKUP(C369,Clientes!$C$2:$D$1000,2,FALSE),"Não definido"))</f>
        <v/>
      </c>
      <c r="K369" s="8" t="str">
        <f t="shared" si="20"/>
        <v/>
      </c>
      <c r="L369" s="3" t="str">
        <f t="shared" si="22"/>
        <v/>
      </c>
      <c r="P369" s="51"/>
    </row>
    <row r="370" spans="2:16" x14ac:dyDescent="0.25">
      <c r="B370" s="7" t="str">
        <f t="shared" si="21"/>
        <v/>
      </c>
      <c r="E370" s="50" t="str">
        <f>IF(C370="","",IFERROR(VLOOKUP(C370,Clientes!$C$2:$D$1000,2,FALSE),"Não definido"))</f>
        <v/>
      </c>
      <c r="K370" s="8" t="str">
        <f t="shared" si="20"/>
        <v/>
      </c>
      <c r="L370" s="3" t="str">
        <f t="shared" si="22"/>
        <v/>
      </c>
      <c r="P370" s="51"/>
    </row>
    <row r="371" spans="2:16" x14ac:dyDescent="0.25">
      <c r="B371" s="7" t="str">
        <f t="shared" si="21"/>
        <v/>
      </c>
      <c r="E371" s="50" t="str">
        <f>IF(C371="","",IFERROR(VLOOKUP(C371,Clientes!$C$2:$D$1000,2,FALSE),"Não definido"))</f>
        <v/>
      </c>
      <c r="K371" s="8" t="str">
        <f t="shared" si="20"/>
        <v/>
      </c>
      <c r="L371" s="3" t="str">
        <f t="shared" si="22"/>
        <v/>
      </c>
      <c r="P371" s="51"/>
    </row>
    <row r="372" spans="2:16" x14ac:dyDescent="0.25">
      <c r="B372" s="7" t="str">
        <f t="shared" si="21"/>
        <v/>
      </c>
      <c r="E372" s="50" t="str">
        <f>IF(C372="","",IFERROR(VLOOKUP(C372,Clientes!$C$2:$D$1000,2,FALSE),"Não definido"))</f>
        <v/>
      </c>
      <c r="K372" s="8" t="str">
        <f t="shared" si="20"/>
        <v/>
      </c>
      <c r="L372" s="3" t="str">
        <f t="shared" si="22"/>
        <v/>
      </c>
      <c r="P372" s="51"/>
    </row>
    <row r="373" spans="2:16" x14ac:dyDescent="0.25">
      <c r="B373" s="7" t="str">
        <f t="shared" si="21"/>
        <v/>
      </c>
      <c r="E373" s="50" t="str">
        <f>IF(C373="","",IFERROR(VLOOKUP(C373,Clientes!$C$2:$D$1000,2,FALSE),"Não definido"))</f>
        <v/>
      </c>
      <c r="K373" s="8" t="str">
        <f t="shared" si="20"/>
        <v/>
      </c>
      <c r="L373" s="3" t="str">
        <f t="shared" si="22"/>
        <v/>
      </c>
      <c r="P373" s="51"/>
    </row>
    <row r="374" spans="2:16" x14ac:dyDescent="0.25">
      <c r="B374" s="7" t="str">
        <f t="shared" si="21"/>
        <v/>
      </c>
      <c r="E374" s="50" t="str">
        <f>IF(C374="","",IFERROR(VLOOKUP(C374,Clientes!$C$2:$D$1000,2,FALSE),"Não definido"))</f>
        <v/>
      </c>
      <c r="K374" s="8" t="str">
        <f t="shared" si="20"/>
        <v/>
      </c>
      <c r="L374" s="3" t="str">
        <f t="shared" si="22"/>
        <v/>
      </c>
      <c r="P374" s="51"/>
    </row>
    <row r="375" spans="2:16" x14ac:dyDescent="0.25">
      <c r="B375" s="7" t="str">
        <f t="shared" si="21"/>
        <v/>
      </c>
      <c r="E375" s="50" t="str">
        <f>IF(C375="","",IFERROR(VLOOKUP(C375,Clientes!$C$2:$D$1000,2,FALSE),"Não definido"))</f>
        <v/>
      </c>
      <c r="K375" s="8" t="str">
        <f t="shared" si="20"/>
        <v/>
      </c>
      <c r="L375" s="3" t="str">
        <f t="shared" si="22"/>
        <v/>
      </c>
      <c r="P375" s="51"/>
    </row>
    <row r="376" spans="2:16" x14ac:dyDescent="0.25">
      <c r="B376" s="7" t="str">
        <f t="shared" si="21"/>
        <v/>
      </c>
      <c r="E376" s="50" t="str">
        <f>IF(C376="","",IFERROR(VLOOKUP(C376,Clientes!$C$2:$D$1000,2,FALSE),"Não definido"))</f>
        <v/>
      </c>
      <c r="K376" s="8" t="str">
        <f t="shared" si="20"/>
        <v/>
      </c>
      <c r="L376" s="3" t="str">
        <f t="shared" si="22"/>
        <v/>
      </c>
      <c r="P376" s="51"/>
    </row>
    <row r="377" spans="2:16" x14ac:dyDescent="0.25">
      <c r="B377" s="7" t="str">
        <f t="shared" si="21"/>
        <v/>
      </c>
      <c r="E377" s="50" t="str">
        <f>IF(C377="","",IFERROR(VLOOKUP(C377,Clientes!$C$2:$D$1000,2,FALSE),"Não definido"))</f>
        <v/>
      </c>
      <c r="K377" s="8" t="str">
        <f t="shared" si="20"/>
        <v/>
      </c>
      <c r="L377" s="3" t="str">
        <f t="shared" si="22"/>
        <v/>
      </c>
      <c r="P377" s="51"/>
    </row>
    <row r="378" spans="2:16" x14ac:dyDescent="0.25">
      <c r="B378" s="7" t="str">
        <f t="shared" si="21"/>
        <v/>
      </c>
      <c r="E378" s="50" t="str">
        <f>IF(C378="","",IFERROR(VLOOKUP(C378,Clientes!$C$2:$D$1000,2,FALSE),"Não definido"))</f>
        <v/>
      </c>
      <c r="K378" s="8" t="str">
        <f t="shared" si="20"/>
        <v/>
      </c>
      <c r="L378" s="3" t="str">
        <f t="shared" si="22"/>
        <v/>
      </c>
      <c r="P378" s="51"/>
    </row>
    <row r="379" spans="2:16" x14ac:dyDescent="0.25">
      <c r="B379" s="7" t="str">
        <f t="shared" si="21"/>
        <v/>
      </c>
      <c r="E379" s="50" t="str">
        <f>IF(C379="","",IFERROR(VLOOKUP(C379,Clientes!$C$2:$D$1000,2,FALSE),"Não definido"))</f>
        <v/>
      </c>
      <c r="K379" s="8" t="str">
        <f t="shared" si="20"/>
        <v/>
      </c>
      <c r="L379" s="3" t="str">
        <f t="shared" si="22"/>
        <v/>
      </c>
      <c r="P379" s="51"/>
    </row>
    <row r="380" spans="2:16" x14ac:dyDescent="0.25">
      <c r="B380" s="7" t="str">
        <f t="shared" si="21"/>
        <v/>
      </c>
      <c r="E380" s="50" t="str">
        <f>IF(C380="","",IFERROR(VLOOKUP(C380,Clientes!$C$2:$D$1000,2,FALSE),"Não definido"))</f>
        <v/>
      </c>
      <c r="K380" s="8" t="str">
        <f t="shared" si="20"/>
        <v/>
      </c>
      <c r="L380" s="3" t="str">
        <f t="shared" si="22"/>
        <v/>
      </c>
      <c r="P380" s="51"/>
    </row>
    <row r="381" spans="2:16" x14ac:dyDescent="0.25">
      <c r="B381" s="7" t="str">
        <f t="shared" si="21"/>
        <v/>
      </c>
      <c r="E381" s="50" t="str">
        <f>IF(C381="","",IFERROR(VLOOKUP(C381,Clientes!$C$2:$D$1000,2,FALSE),"Não definido"))</f>
        <v/>
      </c>
      <c r="K381" s="8" t="str">
        <f t="shared" si="20"/>
        <v/>
      </c>
      <c r="L381" s="3" t="str">
        <f t="shared" si="22"/>
        <v/>
      </c>
      <c r="P381" s="51"/>
    </row>
    <row r="382" spans="2:16" x14ac:dyDescent="0.25">
      <c r="B382" s="7" t="str">
        <f t="shared" si="21"/>
        <v/>
      </c>
      <c r="E382" s="50" t="str">
        <f>IF(C382="","",IFERROR(VLOOKUP(C382,Clientes!$C$2:$D$1000,2,FALSE),"Não definido"))</f>
        <v/>
      </c>
      <c r="K382" s="8" t="str">
        <f t="shared" si="20"/>
        <v/>
      </c>
      <c r="L382" s="3" t="str">
        <f t="shared" si="22"/>
        <v/>
      </c>
      <c r="P382" s="51"/>
    </row>
    <row r="383" spans="2:16" x14ac:dyDescent="0.25">
      <c r="B383" s="7" t="str">
        <f t="shared" si="21"/>
        <v/>
      </c>
      <c r="E383" s="50" t="str">
        <f>IF(C383="","",IFERROR(VLOOKUP(C383,Clientes!$C$2:$D$1000,2,FALSE),"Não definido"))</f>
        <v/>
      </c>
      <c r="K383" s="8" t="str">
        <f t="shared" si="20"/>
        <v/>
      </c>
      <c r="L383" s="3" t="str">
        <f t="shared" si="22"/>
        <v/>
      </c>
      <c r="P383" s="51"/>
    </row>
    <row r="384" spans="2:16" x14ac:dyDescent="0.25">
      <c r="B384" s="7" t="str">
        <f t="shared" si="21"/>
        <v/>
      </c>
      <c r="E384" s="50" t="str">
        <f>IF(C384="","",IFERROR(VLOOKUP(C384,Clientes!$C$2:$D$1000,2,FALSE),"Não definido"))</f>
        <v/>
      </c>
      <c r="K384" s="8" t="str">
        <f t="shared" si="20"/>
        <v/>
      </c>
      <c r="L384" s="3" t="str">
        <f t="shared" si="22"/>
        <v/>
      </c>
      <c r="P384" s="51"/>
    </row>
    <row r="385" spans="2:16" x14ac:dyDescent="0.25">
      <c r="B385" s="7" t="str">
        <f t="shared" si="21"/>
        <v/>
      </c>
      <c r="E385" s="50" t="str">
        <f>IF(C385="","",IFERROR(VLOOKUP(C385,Clientes!$C$2:$D$1000,2,FALSE),"Não definido"))</f>
        <v/>
      </c>
      <c r="K385" s="8" t="str">
        <f t="shared" ref="K385:K448" si="23">IF(H385="","",IFERROR(I385/H385,0))</f>
        <v/>
      </c>
      <c r="L385" s="3" t="str">
        <f t="shared" si="22"/>
        <v/>
      </c>
      <c r="P385" s="51"/>
    </row>
    <row r="386" spans="2:16" x14ac:dyDescent="0.25">
      <c r="B386" s="7" t="str">
        <f t="shared" si="21"/>
        <v/>
      </c>
      <c r="E386" s="50" t="str">
        <f>IF(C386="","",IFERROR(VLOOKUP(C386,Clientes!$C$2:$D$1000,2,FALSE),"Não definido"))</f>
        <v/>
      </c>
      <c r="K386" s="8" t="str">
        <f t="shared" si="23"/>
        <v/>
      </c>
      <c r="L386" s="3" t="str">
        <f t="shared" si="22"/>
        <v/>
      </c>
      <c r="P386" s="51"/>
    </row>
    <row r="387" spans="2:16" x14ac:dyDescent="0.25">
      <c r="B387" s="7" t="str">
        <f t="shared" ref="B387:B450" si="24">IF(A387="","",PROPER(TEXT(A387,"mmmm")))</f>
        <v/>
      </c>
      <c r="E387" s="50" t="str">
        <f>IF(C387="","",IFERROR(VLOOKUP(C387,Clientes!$C$2:$D$1000,2,FALSE),"Não definido"))</f>
        <v/>
      </c>
      <c r="K387" s="8" t="str">
        <f t="shared" si="23"/>
        <v/>
      </c>
      <c r="L387" s="3" t="str">
        <f t="shared" si="22"/>
        <v/>
      </c>
      <c r="P387" s="51"/>
    </row>
    <row r="388" spans="2:16" x14ac:dyDescent="0.25">
      <c r="B388" s="7" t="str">
        <f t="shared" si="24"/>
        <v/>
      </c>
      <c r="E388" s="50" t="str">
        <f>IF(C388="","",IFERROR(VLOOKUP(C388,Clientes!$C$2:$D$1000,2,FALSE),"Não definido"))</f>
        <v/>
      </c>
      <c r="K388" s="8" t="str">
        <f t="shared" si="23"/>
        <v/>
      </c>
      <c r="L388" s="3" t="str">
        <f t="shared" si="22"/>
        <v/>
      </c>
      <c r="P388" s="51"/>
    </row>
    <row r="389" spans="2:16" x14ac:dyDescent="0.25">
      <c r="B389" s="7" t="str">
        <f t="shared" si="24"/>
        <v/>
      </c>
      <c r="E389" s="50" t="str">
        <f>IF(C389="","",IFERROR(VLOOKUP(C389,Clientes!$C$2:$D$1000,2,FALSE),"Não definido"))</f>
        <v/>
      </c>
      <c r="K389" s="8" t="str">
        <f t="shared" si="23"/>
        <v/>
      </c>
      <c r="L389" s="3" t="str">
        <f t="shared" si="22"/>
        <v/>
      </c>
      <c r="P389" s="51"/>
    </row>
    <row r="390" spans="2:16" x14ac:dyDescent="0.25">
      <c r="B390" s="7" t="str">
        <f t="shared" si="24"/>
        <v/>
      </c>
      <c r="E390" s="50" t="str">
        <f>IF(C390="","",IFERROR(VLOOKUP(C390,Clientes!$C$2:$D$1000,2,FALSE),"Não definido"))</f>
        <v/>
      </c>
      <c r="K390" s="8" t="str">
        <f t="shared" si="23"/>
        <v/>
      </c>
      <c r="L390" s="3" t="str">
        <f t="shared" si="22"/>
        <v/>
      </c>
      <c r="P390" s="51"/>
    </row>
    <row r="391" spans="2:16" x14ac:dyDescent="0.25">
      <c r="B391" s="7" t="str">
        <f t="shared" si="24"/>
        <v/>
      </c>
      <c r="E391" s="50" t="str">
        <f>IF(C391="","",IFERROR(VLOOKUP(C391,Clientes!$C$2:$D$1000,2,FALSE),"Não definido"))</f>
        <v/>
      </c>
      <c r="K391" s="8" t="str">
        <f t="shared" si="23"/>
        <v/>
      </c>
      <c r="L391" s="3" t="str">
        <f t="shared" si="22"/>
        <v/>
      </c>
      <c r="P391" s="51"/>
    </row>
    <row r="392" spans="2:16" x14ac:dyDescent="0.25">
      <c r="B392" s="7" t="str">
        <f t="shared" si="24"/>
        <v/>
      </c>
      <c r="E392" s="50" t="str">
        <f>IF(C392="","",IFERROR(VLOOKUP(C392,Clientes!$C$2:$D$1000,2,FALSE),"Não definido"))</f>
        <v/>
      </c>
      <c r="K392" s="8" t="str">
        <f t="shared" si="23"/>
        <v/>
      </c>
      <c r="L392" s="3" t="str">
        <f t="shared" si="22"/>
        <v/>
      </c>
      <c r="P392" s="51"/>
    </row>
    <row r="393" spans="2:16" x14ac:dyDescent="0.25">
      <c r="B393" s="7" t="str">
        <f t="shared" si="24"/>
        <v/>
      </c>
      <c r="E393" s="50" t="str">
        <f>IF(C393="","",IFERROR(VLOOKUP(C393,Clientes!$C$2:$D$1000,2,FALSE),"Não definido"))</f>
        <v/>
      </c>
      <c r="K393" s="8" t="str">
        <f t="shared" si="23"/>
        <v/>
      </c>
      <c r="L393" s="3" t="str">
        <f t="shared" si="22"/>
        <v/>
      </c>
      <c r="P393" s="51"/>
    </row>
    <row r="394" spans="2:16" x14ac:dyDescent="0.25">
      <c r="B394" s="7" t="str">
        <f t="shared" si="24"/>
        <v/>
      </c>
      <c r="E394" s="50" t="str">
        <f>IF(C394="","",IFERROR(VLOOKUP(C394,Clientes!$C$2:$D$1000,2,FALSE),"Não definido"))</f>
        <v/>
      </c>
      <c r="K394" s="8" t="str">
        <f t="shared" si="23"/>
        <v/>
      </c>
      <c r="L394" s="3" t="str">
        <f t="shared" si="22"/>
        <v/>
      </c>
      <c r="P394" s="51"/>
    </row>
    <row r="395" spans="2:16" x14ac:dyDescent="0.25">
      <c r="B395" s="7" t="str">
        <f t="shared" si="24"/>
        <v/>
      </c>
      <c r="E395" s="50" t="str">
        <f>IF(C395="","",IFERROR(VLOOKUP(C395,Clientes!$C$2:$D$1000,2,FALSE),"Não definido"))</f>
        <v/>
      </c>
      <c r="K395" s="8" t="str">
        <f t="shared" si="23"/>
        <v/>
      </c>
      <c r="L395" s="3" t="str">
        <f t="shared" si="22"/>
        <v/>
      </c>
      <c r="P395" s="51"/>
    </row>
    <row r="396" spans="2:16" x14ac:dyDescent="0.25">
      <c r="B396" s="7" t="str">
        <f t="shared" si="24"/>
        <v/>
      </c>
      <c r="E396" s="50" t="str">
        <f>IF(C396="","",IFERROR(VLOOKUP(C396,Clientes!$C$2:$D$1000,2,FALSE),"Não definido"))</f>
        <v/>
      </c>
      <c r="K396" s="8" t="str">
        <f t="shared" si="23"/>
        <v/>
      </c>
      <c r="L396" s="3" t="str">
        <f t="shared" si="22"/>
        <v/>
      </c>
      <c r="P396" s="51"/>
    </row>
    <row r="397" spans="2:16" x14ac:dyDescent="0.25">
      <c r="B397" s="7" t="str">
        <f t="shared" si="24"/>
        <v/>
      </c>
      <c r="E397" s="50" t="str">
        <f>IF(C397="","",IFERROR(VLOOKUP(C397,Clientes!$C$2:$D$1000,2,FALSE),"Não definido"))</f>
        <v/>
      </c>
      <c r="K397" s="8" t="str">
        <f t="shared" si="23"/>
        <v/>
      </c>
      <c r="L397" s="3" t="str">
        <f t="shared" si="22"/>
        <v/>
      </c>
      <c r="P397" s="51"/>
    </row>
    <row r="398" spans="2:16" x14ac:dyDescent="0.25">
      <c r="B398" s="7" t="str">
        <f t="shared" si="24"/>
        <v/>
      </c>
      <c r="E398" s="50" t="str">
        <f>IF(C398="","",IFERROR(VLOOKUP(C398,Clientes!$C$2:$D$1000,2,FALSE),"Não definido"))</f>
        <v/>
      </c>
      <c r="K398" s="8" t="str">
        <f t="shared" si="23"/>
        <v/>
      </c>
      <c r="L398" s="3" t="str">
        <f t="shared" si="22"/>
        <v/>
      </c>
      <c r="P398" s="51"/>
    </row>
    <row r="399" spans="2:16" x14ac:dyDescent="0.25">
      <c r="B399" s="7" t="str">
        <f t="shared" si="24"/>
        <v/>
      </c>
      <c r="E399" s="50" t="str">
        <f>IF(C399="","",IFERROR(VLOOKUP(C399,Clientes!$C$2:$D$1000,2,FALSE),"Não definido"))</f>
        <v/>
      </c>
      <c r="K399" s="8" t="str">
        <f t="shared" si="23"/>
        <v/>
      </c>
      <c r="L399" s="3" t="str">
        <f t="shared" si="22"/>
        <v/>
      </c>
      <c r="P399" s="51"/>
    </row>
    <row r="400" spans="2:16" x14ac:dyDescent="0.25">
      <c r="B400" s="7" t="str">
        <f t="shared" si="24"/>
        <v/>
      </c>
      <c r="E400" s="50" t="str">
        <f>IF(C400="","",IFERROR(VLOOKUP(C400,Clientes!$C$2:$D$1000,2,FALSE),"Não definido"))</f>
        <v/>
      </c>
      <c r="K400" s="8" t="str">
        <f t="shared" si="23"/>
        <v/>
      </c>
      <c r="L400" s="3" t="str">
        <f t="shared" si="22"/>
        <v/>
      </c>
      <c r="P400" s="51"/>
    </row>
    <row r="401" spans="2:16" x14ac:dyDescent="0.25">
      <c r="B401" s="7" t="str">
        <f t="shared" si="24"/>
        <v/>
      </c>
      <c r="E401" s="50" t="str">
        <f>IF(C401="","",IFERROR(VLOOKUP(C401,Clientes!$C$2:$D$1000,2,FALSE),"Não definido"))</f>
        <v/>
      </c>
      <c r="K401" s="8" t="str">
        <f t="shared" si="23"/>
        <v/>
      </c>
      <c r="L401" s="3" t="str">
        <f t="shared" si="22"/>
        <v/>
      </c>
      <c r="P401" s="51"/>
    </row>
    <row r="402" spans="2:16" x14ac:dyDescent="0.25">
      <c r="B402" s="7" t="str">
        <f t="shared" si="24"/>
        <v/>
      </c>
      <c r="E402" s="50" t="str">
        <f>IF(C402="","",IFERROR(VLOOKUP(C402,Clientes!$C$2:$D$1000,2,FALSE),"Não definido"))</f>
        <v/>
      </c>
      <c r="K402" s="8" t="str">
        <f t="shared" si="23"/>
        <v/>
      </c>
      <c r="L402" s="3" t="str">
        <f t="shared" si="22"/>
        <v/>
      </c>
      <c r="P402" s="51"/>
    </row>
    <row r="403" spans="2:16" x14ac:dyDescent="0.25">
      <c r="B403" s="7" t="str">
        <f t="shared" si="24"/>
        <v/>
      </c>
      <c r="E403" s="50" t="str">
        <f>IF(C403="","",IFERROR(VLOOKUP(C403,Clientes!$C$2:$D$1000,2,FALSE),"Não definido"))</f>
        <v/>
      </c>
      <c r="K403" s="8" t="str">
        <f t="shared" si="23"/>
        <v/>
      </c>
      <c r="L403" s="3" t="str">
        <f t="shared" si="22"/>
        <v/>
      </c>
      <c r="P403" s="51"/>
    </row>
    <row r="404" spans="2:16" x14ac:dyDescent="0.25">
      <c r="B404" s="7" t="str">
        <f t="shared" si="24"/>
        <v/>
      </c>
      <c r="E404" s="50" t="str">
        <f>IF(C404="","",IFERROR(VLOOKUP(C404,Clientes!$C$2:$D$1000,2,FALSE),"Não definido"))</f>
        <v/>
      </c>
      <c r="K404" s="8" t="str">
        <f t="shared" si="23"/>
        <v/>
      </c>
      <c r="L404" s="3" t="str">
        <f t="shared" si="22"/>
        <v/>
      </c>
      <c r="P404" s="51"/>
    </row>
    <row r="405" spans="2:16" x14ac:dyDescent="0.25">
      <c r="B405" s="7" t="str">
        <f t="shared" si="24"/>
        <v/>
      </c>
      <c r="E405" s="50" t="str">
        <f>IF(C405="","",IFERROR(VLOOKUP(C405,Clientes!$C$2:$D$1000,2,FALSE),"Não definido"))</f>
        <v/>
      </c>
      <c r="K405" s="8" t="str">
        <f t="shared" si="23"/>
        <v/>
      </c>
      <c r="L405" s="3" t="str">
        <f t="shared" si="22"/>
        <v/>
      </c>
      <c r="P405" s="51"/>
    </row>
    <row r="406" spans="2:16" x14ac:dyDescent="0.25">
      <c r="B406" s="7" t="str">
        <f t="shared" si="24"/>
        <v/>
      </c>
      <c r="E406" s="50" t="str">
        <f>IF(C406="","",IFERROR(VLOOKUP(C406,Clientes!$C$2:$D$1000,2,FALSE),"Não definido"))</f>
        <v/>
      </c>
      <c r="K406" s="8" t="str">
        <f t="shared" si="23"/>
        <v/>
      </c>
      <c r="L406" s="3" t="str">
        <f t="shared" si="22"/>
        <v/>
      </c>
      <c r="P406" s="51"/>
    </row>
    <row r="407" spans="2:16" x14ac:dyDescent="0.25">
      <c r="B407" s="7" t="str">
        <f t="shared" si="24"/>
        <v/>
      </c>
      <c r="E407" s="50" t="str">
        <f>IF(C407="","",IFERROR(VLOOKUP(C407,Clientes!$C$2:$D$1000,2,FALSE),"Não definido"))</f>
        <v/>
      </c>
      <c r="K407" s="8" t="str">
        <f t="shared" si="23"/>
        <v/>
      </c>
      <c r="L407" s="3" t="str">
        <f t="shared" si="22"/>
        <v/>
      </c>
      <c r="P407" s="51"/>
    </row>
    <row r="408" spans="2:16" x14ac:dyDescent="0.25">
      <c r="B408" s="7" t="str">
        <f t="shared" si="24"/>
        <v/>
      </c>
      <c r="E408" s="50" t="str">
        <f>IF(C408="","",IFERROR(VLOOKUP(C408,Clientes!$C$2:$D$1000,2,FALSE),"Não definido"))</f>
        <v/>
      </c>
      <c r="K408" s="8" t="str">
        <f t="shared" si="23"/>
        <v/>
      </c>
      <c r="L408" s="3" t="str">
        <f t="shared" si="22"/>
        <v/>
      </c>
      <c r="P408" s="51"/>
    </row>
    <row r="409" spans="2:16" x14ac:dyDescent="0.25">
      <c r="B409" s="7" t="str">
        <f t="shared" si="24"/>
        <v/>
      </c>
      <c r="E409" s="50" t="str">
        <f>IF(C409="","",IFERROR(VLOOKUP(C409,Clientes!$C$2:$D$1000,2,FALSE),"Não definido"))</f>
        <v/>
      </c>
      <c r="K409" s="8" t="str">
        <f t="shared" si="23"/>
        <v/>
      </c>
      <c r="L409" s="3" t="str">
        <f t="shared" si="22"/>
        <v/>
      </c>
      <c r="P409" s="51"/>
    </row>
    <row r="410" spans="2:16" x14ac:dyDescent="0.25">
      <c r="B410" s="7" t="str">
        <f t="shared" si="24"/>
        <v/>
      </c>
      <c r="E410" s="50" t="str">
        <f>IF(C410="","",IFERROR(VLOOKUP(C410,Clientes!$C$2:$D$1000,2,FALSE),"Não definido"))</f>
        <v/>
      </c>
      <c r="K410" s="8" t="str">
        <f t="shared" si="23"/>
        <v/>
      </c>
      <c r="L410" s="3" t="str">
        <f t="shared" si="22"/>
        <v/>
      </c>
      <c r="P410" s="51"/>
    </row>
    <row r="411" spans="2:16" x14ac:dyDescent="0.25">
      <c r="B411" s="7" t="str">
        <f t="shared" si="24"/>
        <v/>
      </c>
      <c r="E411" s="50" t="str">
        <f>IF(C411="","",IFERROR(VLOOKUP(C411,Clientes!$C$2:$D$1000,2,FALSE),"Não definido"))</f>
        <v/>
      </c>
      <c r="K411" s="8" t="str">
        <f t="shared" si="23"/>
        <v/>
      </c>
      <c r="L411" s="3" t="str">
        <f t="shared" si="22"/>
        <v/>
      </c>
      <c r="P411" s="51"/>
    </row>
    <row r="412" spans="2:16" x14ac:dyDescent="0.25">
      <c r="B412" s="7" t="str">
        <f t="shared" si="24"/>
        <v/>
      </c>
      <c r="E412" s="50" t="str">
        <f>IF(C412="","",IFERROR(VLOOKUP(C412,Clientes!$C$2:$D$1000,2,FALSE),"Não definido"))</f>
        <v/>
      </c>
      <c r="K412" s="8" t="str">
        <f t="shared" si="23"/>
        <v/>
      </c>
      <c r="L412" s="3" t="str">
        <f t="shared" si="22"/>
        <v/>
      </c>
      <c r="P412" s="51"/>
    </row>
    <row r="413" spans="2:16" x14ac:dyDescent="0.25">
      <c r="B413" s="7" t="str">
        <f t="shared" si="24"/>
        <v/>
      </c>
      <c r="E413" s="50" t="str">
        <f>IF(C413="","",IFERROR(VLOOKUP(C413,Clientes!$C$2:$D$1000,2,FALSE),"Não definido"))</f>
        <v/>
      </c>
      <c r="K413" s="8" t="str">
        <f t="shared" si="23"/>
        <v/>
      </c>
      <c r="L413" s="3" t="str">
        <f t="shared" si="22"/>
        <v/>
      </c>
      <c r="P413" s="51"/>
    </row>
    <row r="414" spans="2:16" x14ac:dyDescent="0.25">
      <c r="B414" s="7" t="str">
        <f t="shared" si="24"/>
        <v/>
      </c>
      <c r="E414" s="50" t="str">
        <f>IF(C414="","",IFERROR(VLOOKUP(C414,Clientes!$C$2:$D$1000,2,FALSE),"Não definido"))</f>
        <v/>
      </c>
      <c r="K414" s="8" t="str">
        <f t="shared" si="23"/>
        <v/>
      </c>
      <c r="L414" s="3" t="str">
        <f t="shared" si="22"/>
        <v/>
      </c>
      <c r="P414" s="51"/>
    </row>
    <row r="415" spans="2:16" x14ac:dyDescent="0.25">
      <c r="B415" s="7" t="str">
        <f t="shared" si="24"/>
        <v/>
      </c>
      <c r="E415" s="50" t="str">
        <f>IF(C415="","",IFERROR(VLOOKUP(C415,Clientes!$C$2:$D$1000,2,FALSE),"Não definido"))</f>
        <v/>
      </c>
      <c r="K415" s="8" t="str">
        <f t="shared" si="23"/>
        <v/>
      </c>
      <c r="L415" s="3" t="str">
        <f t="shared" si="22"/>
        <v/>
      </c>
      <c r="P415" s="51"/>
    </row>
    <row r="416" spans="2:16" x14ac:dyDescent="0.25">
      <c r="B416" s="7" t="str">
        <f t="shared" si="24"/>
        <v/>
      </c>
      <c r="E416" s="50" t="str">
        <f>IF(C416="","",IFERROR(VLOOKUP(C416,Clientes!$C$2:$D$1000,2,FALSE),"Não definido"))</f>
        <v/>
      </c>
      <c r="K416" s="8" t="str">
        <f t="shared" si="23"/>
        <v/>
      </c>
      <c r="L416" s="3" t="str">
        <f t="shared" ref="L416:L479" si="25">IF(A416="","",IF(K416&gt;=1,"Concluído",IF(K416&gt;=0.8,"Parcial","Não executado")))</f>
        <v/>
      </c>
      <c r="P416" s="51"/>
    </row>
    <row r="417" spans="2:16" x14ac:dyDescent="0.25">
      <c r="B417" s="7" t="str">
        <f t="shared" si="24"/>
        <v/>
      </c>
      <c r="E417" s="50" t="str">
        <f>IF(C417="","",IFERROR(VLOOKUP(C417,Clientes!$C$2:$D$1000,2,FALSE),"Não definido"))</f>
        <v/>
      </c>
      <c r="K417" s="8" t="str">
        <f t="shared" si="23"/>
        <v/>
      </c>
      <c r="L417" s="3" t="str">
        <f t="shared" si="25"/>
        <v/>
      </c>
      <c r="P417" s="51"/>
    </row>
    <row r="418" spans="2:16" x14ac:dyDescent="0.25">
      <c r="B418" s="7" t="str">
        <f t="shared" si="24"/>
        <v/>
      </c>
      <c r="E418" s="50" t="str">
        <f>IF(C418="","",IFERROR(VLOOKUP(C418,Clientes!$C$2:$D$1000,2,FALSE),"Não definido"))</f>
        <v/>
      </c>
      <c r="K418" s="8" t="str">
        <f t="shared" si="23"/>
        <v/>
      </c>
      <c r="L418" s="3" t="str">
        <f t="shared" si="25"/>
        <v/>
      </c>
      <c r="P418" s="51"/>
    </row>
    <row r="419" spans="2:16" x14ac:dyDescent="0.25">
      <c r="B419" s="7" t="str">
        <f t="shared" si="24"/>
        <v/>
      </c>
      <c r="E419" s="50" t="str">
        <f>IF(C419="","",IFERROR(VLOOKUP(C419,Clientes!$C$2:$D$1000,2,FALSE),"Não definido"))</f>
        <v/>
      </c>
      <c r="K419" s="8" t="str">
        <f t="shared" si="23"/>
        <v/>
      </c>
      <c r="L419" s="3" t="str">
        <f t="shared" si="25"/>
        <v/>
      </c>
      <c r="P419" s="51"/>
    </row>
    <row r="420" spans="2:16" x14ac:dyDescent="0.25">
      <c r="B420" s="7" t="str">
        <f t="shared" si="24"/>
        <v/>
      </c>
      <c r="E420" s="50" t="str">
        <f>IF(C420="","",IFERROR(VLOOKUP(C420,Clientes!$C$2:$D$1000,2,FALSE),"Não definido"))</f>
        <v/>
      </c>
      <c r="K420" s="8" t="str">
        <f t="shared" si="23"/>
        <v/>
      </c>
      <c r="L420" s="3" t="str">
        <f t="shared" si="25"/>
        <v/>
      </c>
      <c r="P420" s="51"/>
    </row>
    <row r="421" spans="2:16" x14ac:dyDescent="0.25">
      <c r="B421" s="7" t="str">
        <f t="shared" si="24"/>
        <v/>
      </c>
      <c r="E421" s="50" t="str">
        <f>IF(C421="","",IFERROR(VLOOKUP(C421,Clientes!$C$2:$D$1000,2,FALSE),"Não definido"))</f>
        <v/>
      </c>
      <c r="K421" s="8" t="str">
        <f t="shared" si="23"/>
        <v/>
      </c>
      <c r="L421" s="3" t="str">
        <f t="shared" si="25"/>
        <v/>
      </c>
      <c r="P421" s="51"/>
    </row>
    <row r="422" spans="2:16" x14ac:dyDescent="0.25">
      <c r="B422" s="7" t="str">
        <f t="shared" si="24"/>
        <v/>
      </c>
      <c r="E422" s="50" t="str">
        <f>IF(C422="","",IFERROR(VLOOKUP(C422,Clientes!$C$2:$D$1000,2,FALSE),"Não definido"))</f>
        <v/>
      </c>
      <c r="K422" s="8" t="str">
        <f t="shared" si="23"/>
        <v/>
      </c>
      <c r="L422" s="3" t="str">
        <f t="shared" si="25"/>
        <v/>
      </c>
      <c r="P422" s="51"/>
    </row>
    <row r="423" spans="2:16" x14ac:dyDescent="0.25">
      <c r="B423" s="7" t="str">
        <f t="shared" si="24"/>
        <v/>
      </c>
      <c r="E423" s="50" t="str">
        <f>IF(C423="","",IFERROR(VLOOKUP(C423,Clientes!$C$2:$D$1000,2,FALSE),"Não definido"))</f>
        <v/>
      </c>
      <c r="K423" s="8" t="str">
        <f t="shared" si="23"/>
        <v/>
      </c>
      <c r="L423" s="3" t="str">
        <f t="shared" si="25"/>
        <v/>
      </c>
      <c r="P423" s="51"/>
    </row>
    <row r="424" spans="2:16" x14ac:dyDescent="0.25">
      <c r="B424" s="7" t="str">
        <f t="shared" si="24"/>
        <v/>
      </c>
      <c r="E424" s="50" t="str">
        <f>IF(C424="","",IFERROR(VLOOKUP(C424,Clientes!$C$2:$D$1000,2,FALSE),"Não definido"))</f>
        <v/>
      </c>
      <c r="K424" s="8" t="str">
        <f t="shared" si="23"/>
        <v/>
      </c>
      <c r="L424" s="3" t="str">
        <f t="shared" si="25"/>
        <v/>
      </c>
      <c r="P424" s="51"/>
    </row>
    <row r="425" spans="2:16" x14ac:dyDescent="0.25">
      <c r="B425" s="7" t="str">
        <f t="shared" si="24"/>
        <v/>
      </c>
      <c r="E425" s="50" t="str">
        <f>IF(C425="","",IFERROR(VLOOKUP(C425,Clientes!$C$2:$D$1000,2,FALSE),"Não definido"))</f>
        <v/>
      </c>
      <c r="K425" s="8" t="str">
        <f t="shared" si="23"/>
        <v/>
      </c>
      <c r="L425" s="3" t="str">
        <f t="shared" si="25"/>
        <v/>
      </c>
      <c r="P425" s="51"/>
    </row>
    <row r="426" spans="2:16" x14ac:dyDescent="0.25">
      <c r="B426" s="7" t="str">
        <f t="shared" si="24"/>
        <v/>
      </c>
      <c r="E426" s="50" t="str">
        <f>IF(C426="","",IFERROR(VLOOKUP(C426,Clientes!$C$2:$D$1000,2,FALSE),"Não definido"))</f>
        <v/>
      </c>
      <c r="K426" s="8" t="str">
        <f t="shared" si="23"/>
        <v/>
      </c>
      <c r="L426" s="3" t="str">
        <f t="shared" si="25"/>
        <v/>
      </c>
      <c r="P426" s="51"/>
    </row>
    <row r="427" spans="2:16" x14ac:dyDescent="0.25">
      <c r="B427" s="7" t="str">
        <f t="shared" si="24"/>
        <v/>
      </c>
      <c r="E427" s="50" t="str">
        <f>IF(C427="","",IFERROR(VLOOKUP(C427,Clientes!$C$2:$D$1000,2,FALSE),"Não definido"))</f>
        <v/>
      </c>
      <c r="K427" s="8" t="str">
        <f t="shared" si="23"/>
        <v/>
      </c>
      <c r="L427" s="3" t="str">
        <f t="shared" si="25"/>
        <v/>
      </c>
      <c r="P427" s="51"/>
    </row>
    <row r="428" spans="2:16" x14ac:dyDescent="0.25">
      <c r="B428" s="7" t="str">
        <f t="shared" si="24"/>
        <v/>
      </c>
      <c r="E428" s="50" t="str">
        <f>IF(C428="","",IFERROR(VLOOKUP(C428,Clientes!$C$2:$D$1000,2,FALSE),"Não definido"))</f>
        <v/>
      </c>
      <c r="K428" s="8" t="str">
        <f t="shared" si="23"/>
        <v/>
      </c>
      <c r="L428" s="3" t="str">
        <f t="shared" si="25"/>
        <v/>
      </c>
      <c r="P428" s="51"/>
    </row>
    <row r="429" spans="2:16" x14ac:dyDescent="0.25">
      <c r="B429" s="7" t="str">
        <f t="shared" si="24"/>
        <v/>
      </c>
      <c r="E429" s="50" t="str">
        <f>IF(C429="","",IFERROR(VLOOKUP(C429,Clientes!$C$2:$D$1000,2,FALSE),"Não definido"))</f>
        <v/>
      </c>
      <c r="K429" s="8" t="str">
        <f t="shared" si="23"/>
        <v/>
      </c>
      <c r="L429" s="3" t="str">
        <f t="shared" si="25"/>
        <v/>
      </c>
      <c r="P429" s="51"/>
    </row>
    <row r="430" spans="2:16" x14ac:dyDescent="0.25">
      <c r="B430" s="7" t="str">
        <f t="shared" si="24"/>
        <v/>
      </c>
      <c r="E430" s="50" t="str">
        <f>IF(C430="","",IFERROR(VLOOKUP(C430,Clientes!$C$2:$D$1000,2,FALSE),"Não definido"))</f>
        <v/>
      </c>
      <c r="K430" s="8" t="str">
        <f t="shared" si="23"/>
        <v/>
      </c>
      <c r="L430" s="3" t="str">
        <f t="shared" si="25"/>
        <v/>
      </c>
      <c r="P430" s="51"/>
    </row>
    <row r="431" spans="2:16" x14ac:dyDescent="0.25">
      <c r="B431" s="7" t="str">
        <f t="shared" si="24"/>
        <v/>
      </c>
      <c r="E431" s="50" t="str">
        <f>IF(C431="","",IFERROR(VLOOKUP(C431,Clientes!$C$2:$D$1000,2,FALSE),"Não definido"))</f>
        <v/>
      </c>
      <c r="K431" s="8" t="str">
        <f t="shared" si="23"/>
        <v/>
      </c>
      <c r="L431" s="3" t="str">
        <f t="shared" si="25"/>
        <v/>
      </c>
      <c r="P431" s="51"/>
    </row>
    <row r="432" spans="2:16" x14ac:dyDescent="0.25">
      <c r="B432" s="7" t="str">
        <f t="shared" si="24"/>
        <v/>
      </c>
      <c r="E432" s="50" t="str">
        <f>IF(C432="","",IFERROR(VLOOKUP(C432,Clientes!$C$2:$D$1000,2,FALSE),"Não definido"))</f>
        <v/>
      </c>
      <c r="K432" s="8" t="str">
        <f t="shared" si="23"/>
        <v/>
      </c>
      <c r="L432" s="3" t="str">
        <f t="shared" si="25"/>
        <v/>
      </c>
      <c r="P432" s="51"/>
    </row>
    <row r="433" spans="2:16" x14ac:dyDescent="0.25">
      <c r="B433" s="7" t="str">
        <f t="shared" si="24"/>
        <v/>
      </c>
      <c r="E433" s="50" t="str">
        <f>IF(C433="","",IFERROR(VLOOKUP(C433,Clientes!$C$2:$D$1000,2,FALSE),"Não definido"))</f>
        <v/>
      </c>
      <c r="K433" s="8" t="str">
        <f t="shared" si="23"/>
        <v/>
      </c>
      <c r="L433" s="3" t="str">
        <f t="shared" si="25"/>
        <v/>
      </c>
      <c r="P433" s="51"/>
    </row>
    <row r="434" spans="2:16" x14ac:dyDescent="0.25">
      <c r="B434" s="7" t="str">
        <f t="shared" si="24"/>
        <v/>
      </c>
      <c r="E434" s="50" t="str">
        <f>IF(C434="","",IFERROR(VLOOKUP(C434,Clientes!$C$2:$D$1000,2,FALSE),"Não definido"))</f>
        <v/>
      </c>
      <c r="K434" s="8" t="str">
        <f t="shared" si="23"/>
        <v/>
      </c>
      <c r="L434" s="3" t="str">
        <f t="shared" si="25"/>
        <v/>
      </c>
      <c r="P434" s="51"/>
    </row>
    <row r="435" spans="2:16" x14ac:dyDescent="0.25">
      <c r="B435" s="7" t="str">
        <f t="shared" si="24"/>
        <v/>
      </c>
      <c r="E435" s="50" t="str">
        <f>IF(C435="","",IFERROR(VLOOKUP(C435,Clientes!$C$2:$D$1000,2,FALSE),"Não definido"))</f>
        <v/>
      </c>
      <c r="K435" s="8" t="str">
        <f t="shared" si="23"/>
        <v/>
      </c>
      <c r="L435" s="3" t="str">
        <f t="shared" si="25"/>
        <v/>
      </c>
      <c r="P435" s="51"/>
    </row>
    <row r="436" spans="2:16" x14ac:dyDescent="0.25">
      <c r="B436" s="7" t="str">
        <f t="shared" si="24"/>
        <v/>
      </c>
      <c r="E436" s="50" t="str">
        <f>IF(C436="","",IFERROR(VLOOKUP(C436,Clientes!$C$2:$D$1000,2,FALSE),"Não definido"))</f>
        <v/>
      </c>
      <c r="K436" s="8" t="str">
        <f t="shared" si="23"/>
        <v/>
      </c>
      <c r="L436" s="3" t="str">
        <f t="shared" si="25"/>
        <v/>
      </c>
      <c r="P436" s="51"/>
    </row>
    <row r="437" spans="2:16" x14ac:dyDescent="0.25">
      <c r="B437" s="7" t="str">
        <f t="shared" si="24"/>
        <v/>
      </c>
      <c r="E437" s="50" t="str">
        <f>IF(C437="","",IFERROR(VLOOKUP(C437,Clientes!$C$2:$D$1000,2,FALSE),"Não definido"))</f>
        <v/>
      </c>
      <c r="K437" s="8" t="str">
        <f t="shared" si="23"/>
        <v/>
      </c>
      <c r="L437" s="3" t="str">
        <f t="shared" si="25"/>
        <v/>
      </c>
      <c r="P437" s="51"/>
    </row>
    <row r="438" spans="2:16" x14ac:dyDescent="0.25">
      <c r="B438" s="7" t="str">
        <f t="shared" si="24"/>
        <v/>
      </c>
      <c r="E438" s="50" t="str">
        <f>IF(C438="","",IFERROR(VLOOKUP(C438,Clientes!$C$2:$D$1000,2,FALSE),"Não definido"))</f>
        <v/>
      </c>
      <c r="K438" s="8" t="str">
        <f t="shared" si="23"/>
        <v/>
      </c>
      <c r="L438" s="3" t="str">
        <f t="shared" si="25"/>
        <v/>
      </c>
      <c r="P438" s="51"/>
    </row>
    <row r="439" spans="2:16" x14ac:dyDescent="0.25">
      <c r="B439" s="7" t="str">
        <f t="shared" si="24"/>
        <v/>
      </c>
      <c r="E439" s="50" t="str">
        <f>IF(C439="","",IFERROR(VLOOKUP(C439,Clientes!$C$2:$D$1000,2,FALSE),"Não definido"))</f>
        <v/>
      </c>
      <c r="K439" s="8" t="str">
        <f t="shared" si="23"/>
        <v/>
      </c>
      <c r="L439" s="3" t="str">
        <f t="shared" si="25"/>
        <v/>
      </c>
      <c r="P439" s="51"/>
    </row>
    <row r="440" spans="2:16" x14ac:dyDescent="0.25">
      <c r="B440" s="7" t="str">
        <f t="shared" si="24"/>
        <v/>
      </c>
      <c r="E440" s="50" t="str">
        <f>IF(C440="","",IFERROR(VLOOKUP(C440,Clientes!$C$2:$D$1000,2,FALSE),"Não definido"))</f>
        <v/>
      </c>
      <c r="K440" s="8" t="str">
        <f t="shared" si="23"/>
        <v/>
      </c>
      <c r="L440" s="3" t="str">
        <f t="shared" si="25"/>
        <v/>
      </c>
      <c r="P440" s="51"/>
    </row>
    <row r="441" spans="2:16" x14ac:dyDescent="0.25">
      <c r="B441" s="7" t="str">
        <f t="shared" si="24"/>
        <v/>
      </c>
      <c r="E441" s="50" t="str">
        <f>IF(C441="","",IFERROR(VLOOKUP(C441,Clientes!$C$2:$D$1000,2,FALSE),"Não definido"))</f>
        <v/>
      </c>
      <c r="K441" s="8" t="str">
        <f t="shared" si="23"/>
        <v/>
      </c>
      <c r="L441" s="3" t="str">
        <f t="shared" si="25"/>
        <v/>
      </c>
      <c r="P441" s="51"/>
    </row>
    <row r="442" spans="2:16" x14ac:dyDescent="0.25">
      <c r="B442" s="7" t="str">
        <f t="shared" si="24"/>
        <v/>
      </c>
      <c r="E442" s="50" t="str">
        <f>IF(C442="","",IFERROR(VLOOKUP(C442,Clientes!$C$2:$D$1000,2,FALSE),"Não definido"))</f>
        <v/>
      </c>
      <c r="K442" s="8" t="str">
        <f t="shared" si="23"/>
        <v/>
      </c>
      <c r="L442" s="3" t="str">
        <f t="shared" si="25"/>
        <v/>
      </c>
      <c r="P442" s="51"/>
    </row>
    <row r="443" spans="2:16" x14ac:dyDescent="0.25">
      <c r="B443" s="7" t="str">
        <f t="shared" si="24"/>
        <v/>
      </c>
      <c r="E443" s="50" t="str">
        <f>IF(C443="","",IFERROR(VLOOKUP(C443,Clientes!$C$2:$D$1000,2,FALSE),"Não definido"))</f>
        <v/>
      </c>
      <c r="K443" s="8" t="str">
        <f t="shared" si="23"/>
        <v/>
      </c>
      <c r="L443" s="3" t="str">
        <f t="shared" si="25"/>
        <v/>
      </c>
      <c r="P443" s="51"/>
    </row>
    <row r="444" spans="2:16" x14ac:dyDescent="0.25">
      <c r="B444" s="7" t="str">
        <f t="shared" si="24"/>
        <v/>
      </c>
      <c r="E444" s="50" t="str">
        <f>IF(C444="","",IFERROR(VLOOKUP(C444,Clientes!$C$2:$D$1000,2,FALSE),"Não definido"))</f>
        <v/>
      </c>
      <c r="K444" s="8" t="str">
        <f t="shared" si="23"/>
        <v/>
      </c>
      <c r="L444" s="3" t="str">
        <f t="shared" si="25"/>
        <v/>
      </c>
      <c r="P444" s="51"/>
    </row>
    <row r="445" spans="2:16" x14ac:dyDescent="0.25">
      <c r="B445" s="7" t="str">
        <f t="shared" si="24"/>
        <v/>
      </c>
      <c r="E445" s="50" t="str">
        <f>IF(C445="","",IFERROR(VLOOKUP(C445,Clientes!$C$2:$D$1000,2,FALSE),"Não definido"))</f>
        <v/>
      </c>
      <c r="K445" s="8" t="str">
        <f t="shared" si="23"/>
        <v/>
      </c>
      <c r="L445" s="3" t="str">
        <f t="shared" si="25"/>
        <v/>
      </c>
      <c r="P445" s="51"/>
    </row>
    <row r="446" spans="2:16" x14ac:dyDescent="0.25">
      <c r="B446" s="7" t="str">
        <f t="shared" si="24"/>
        <v/>
      </c>
      <c r="E446" s="50" t="str">
        <f>IF(C446="","",IFERROR(VLOOKUP(C446,Clientes!$C$2:$D$1000,2,FALSE),"Não definido"))</f>
        <v/>
      </c>
      <c r="K446" s="8" t="str">
        <f t="shared" si="23"/>
        <v/>
      </c>
      <c r="L446" s="3" t="str">
        <f t="shared" si="25"/>
        <v/>
      </c>
      <c r="P446" s="51"/>
    </row>
    <row r="447" spans="2:16" x14ac:dyDescent="0.25">
      <c r="B447" s="7" t="str">
        <f t="shared" si="24"/>
        <v/>
      </c>
      <c r="E447" s="50" t="str">
        <f>IF(C447="","",IFERROR(VLOOKUP(C447,Clientes!$C$2:$D$1000,2,FALSE),"Não definido"))</f>
        <v/>
      </c>
      <c r="K447" s="8" t="str">
        <f t="shared" si="23"/>
        <v/>
      </c>
      <c r="L447" s="3" t="str">
        <f t="shared" si="25"/>
        <v/>
      </c>
      <c r="P447" s="51"/>
    </row>
    <row r="448" spans="2:16" x14ac:dyDescent="0.25">
      <c r="B448" s="7" t="str">
        <f t="shared" si="24"/>
        <v/>
      </c>
      <c r="E448" s="50" t="str">
        <f>IF(C448="","",IFERROR(VLOOKUP(C448,Clientes!$C$2:$D$1000,2,FALSE),"Não definido"))</f>
        <v/>
      </c>
      <c r="K448" s="8" t="str">
        <f t="shared" si="23"/>
        <v/>
      </c>
      <c r="L448" s="3" t="str">
        <f t="shared" si="25"/>
        <v/>
      </c>
      <c r="P448" s="51"/>
    </row>
    <row r="449" spans="2:16" x14ac:dyDescent="0.25">
      <c r="B449" s="7" t="str">
        <f t="shared" si="24"/>
        <v/>
      </c>
      <c r="E449" s="50" t="str">
        <f>IF(C449="","",IFERROR(VLOOKUP(C449,Clientes!$C$2:$D$1000,2,FALSE),"Não definido"))</f>
        <v/>
      </c>
      <c r="K449" s="8" t="str">
        <f t="shared" ref="K449:K500" si="26">IF(H449="","",IFERROR(I449/H449,0))</f>
        <v/>
      </c>
      <c r="L449" s="3" t="str">
        <f t="shared" si="25"/>
        <v/>
      </c>
      <c r="P449" s="51"/>
    </row>
    <row r="450" spans="2:16" x14ac:dyDescent="0.25">
      <c r="B450" s="7" t="str">
        <f t="shared" si="24"/>
        <v/>
      </c>
      <c r="E450" s="50" t="str">
        <f>IF(C450="","",IFERROR(VLOOKUP(C450,Clientes!$C$2:$D$1000,2,FALSE),"Não definido"))</f>
        <v/>
      </c>
      <c r="K450" s="8" t="str">
        <f t="shared" si="26"/>
        <v/>
      </c>
      <c r="L450" s="3" t="str">
        <f t="shared" si="25"/>
        <v/>
      </c>
      <c r="P450" s="51"/>
    </row>
    <row r="451" spans="2:16" x14ac:dyDescent="0.25">
      <c r="B451" s="7" t="str">
        <f t="shared" ref="B451:B500" si="27">IF(A451="","",PROPER(TEXT(A451,"mmmm")))</f>
        <v/>
      </c>
      <c r="E451" s="50" t="str">
        <f>IF(C451="","",IFERROR(VLOOKUP(C451,Clientes!$C$2:$D$1000,2,FALSE),"Não definido"))</f>
        <v/>
      </c>
      <c r="K451" s="8" t="str">
        <f t="shared" si="26"/>
        <v/>
      </c>
      <c r="L451" s="3" t="str">
        <f t="shared" si="25"/>
        <v/>
      </c>
      <c r="P451" s="51"/>
    </row>
    <row r="452" spans="2:16" x14ac:dyDescent="0.25">
      <c r="B452" s="7" t="str">
        <f t="shared" si="27"/>
        <v/>
      </c>
      <c r="E452" s="50" t="str">
        <f>IF(C452="","",IFERROR(VLOOKUP(C452,Clientes!$C$2:$D$1000,2,FALSE),"Não definido"))</f>
        <v/>
      </c>
      <c r="K452" s="8" t="str">
        <f t="shared" si="26"/>
        <v/>
      </c>
      <c r="L452" s="3" t="str">
        <f t="shared" si="25"/>
        <v/>
      </c>
      <c r="P452" s="51"/>
    </row>
    <row r="453" spans="2:16" x14ac:dyDescent="0.25">
      <c r="B453" s="7" t="str">
        <f t="shared" si="27"/>
        <v/>
      </c>
      <c r="E453" s="50" t="str">
        <f>IF(C453="","",IFERROR(VLOOKUP(C453,Clientes!$C$2:$D$1000,2,FALSE),"Não definido"))</f>
        <v/>
      </c>
      <c r="K453" s="8" t="str">
        <f t="shared" si="26"/>
        <v/>
      </c>
      <c r="L453" s="3" t="str">
        <f t="shared" si="25"/>
        <v/>
      </c>
      <c r="P453" s="51"/>
    </row>
    <row r="454" spans="2:16" x14ac:dyDescent="0.25">
      <c r="B454" s="7" t="str">
        <f t="shared" si="27"/>
        <v/>
      </c>
      <c r="E454" s="50" t="str">
        <f>IF(C454="","",IFERROR(VLOOKUP(C454,Clientes!$C$2:$D$1000,2,FALSE),"Não definido"))</f>
        <v/>
      </c>
      <c r="K454" s="8" t="str">
        <f t="shared" si="26"/>
        <v/>
      </c>
      <c r="L454" s="3" t="str">
        <f t="shared" si="25"/>
        <v/>
      </c>
      <c r="P454" s="51"/>
    </row>
    <row r="455" spans="2:16" x14ac:dyDescent="0.25">
      <c r="B455" s="7" t="str">
        <f t="shared" si="27"/>
        <v/>
      </c>
      <c r="E455" s="50" t="str">
        <f>IF(C455="","",IFERROR(VLOOKUP(C455,Clientes!$C$2:$D$1000,2,FALSE),"Não definido"))</f>
        <v/>
      </c>
      <c r="K455" s="8" t="str">
        <f t="shared" si="26"/>
        <v/>
      </c>
      <c r="L455" s="3" t="str">
        <f t="shared" si="25"/>
        <v/>
      </c>
      <c r="P455" s="51"/>
    </row>
    <row r="456" spans="2:16" x14ac:dyDescent="0.25">
      <c r="B456" s="7" t="str">
        <f t="shared" si="27"/>
        <v/>
      </c>
      <c r="E456" s="50" t="str">
        <f>IF(C456="","",IFERROR(VLOOKUP(C456,Clientes!$C$2:$D$1000,2,FALSE),"Não definido"))</f>
        <v/>
      </c>
      <c r="K456" s="8" t="str">
        <f t="shared" si="26"/>
        <v/>
      </c>
      <c r="L456" s="3" t="str">
        <f t="shared" si="25"/>
        <v/>
      </c>
      <c r="P456" s="51"/>
    </row>
    <row r="457" spans="2:16" x14ac:dyDescent="0.25">
      <c r="B457" s="7" t="str">
        <f t="shared" si="27"/>
        <v/>
      </c>
      <c r="E457" s="50" t="str">
        <f>IF(C457="","",IFERROR(VLOOKUP(C457,Clientes!$C$2:$D$1000,2,FALSE),"Não definido"))</f>
        <v/>
      </c>
      <c r="K457" s="8" t="str">
        <f t="shared" si="26"/>
        <v/>
      </c>
      <c r="L457" s="3" t="str">
        <f t="shared" si="25"/>
        <v/>
      </c>
      <c r="P457" s="51"/>
    </row>
    <row r="458" spans="2:16" x14ac:dyDescent="0.25">
      <c r="B458" s="7" t="str">
        <f t="shared" si="27"/>
        <v/>
      </c>
      <c r="E458" s="50" t="str">
        <f>IF(C458="","",IFERROR(VLOOKUP(C458,Clientes!$C$2:$D$1000,2,FALSE),"Não definido"))</f>
        <v/>
      </c>
      <c r="K458" s="8" t="str">
        <f t="shared" si="26"/>
        <v/>
      </c>
      <c r="L458" s="3" t="str">
        <f t="shared" si="25"/>
        <v/>
      </c>
      <c r="P458" s="51"/>
    </row>
    <row r="459" spans="2:16" x14ac:dyDescent="0.25">
      <c r="B459" s="7" t="str">
        <f t="shared" si="27"/>
        <v/>
      </c>
      <c r="E459" s="50" t="str">
        <f>IF(C459="","",IFERROR(VLOOKUP(C459,Clientes!$C$2:$D$1000,2,FALSE),"Não definido"))</f>
        <v/>
      </c>
      <c r="K459" s="8" t="str">
        <f t="shared" si="26"/>
        <v/>
      </c>
      <c r="L459" s="3" t="str">
        <f t="shared" si="25"/>
        <v/>
      </c>
      <c r="P459" s="51"/>
    </row>
    <row r="460" spans="2:16" x14ac:dyDescent="0.25">
      <c r="B460" s="7" t="str">
        <f t="shared" si="27"/>
        <v/>
      </c>
      <c r="E460" s="50" t="str">
        <f>IF(C460="","",IFERROR(VLOOKUP(C460,Clientes!$C$2:$D$1000,2,FALSE),"Não definido"))</f>
        <v/>
      </c>
      <c r="K460" s="8" t="str">
        <f t="shared" si="26"/>
        <v/>
      </c>
      <c r="L460" s="3" t="str">
        <f t="shared" si="25"/>
        <v/>
      </c>
      <c r="P460" s="51"/>
    </row>
    <row r="461" spans="2:16" x14ac:dyDescent="0.25">
      <c r="B461" s="7" t="str">
        <f t="shared" si="27"/>
        <v/>
      </c>
      <c r="E461" s="50" t="str">
        <f>IF(C461="","",IFERROR(VLOOKUP(C461,Clientes!$C$2:$D$1000,2,FALSE),"Não definido"))</f>
        <v/>
      </c>
      <c r="K461" s="8" t="str">
        <f t="shared" si="26"/>
        <v/>
      </c>
      <c r="L461" s="3" t="str">
        <f t="shared" si="25"/>
        <v/>
      </c>
      <c r="P461" s="51"/>
    </row>
    <row r="462" spans="2:16" x14ac:dyDescent="0.25">
      <c r="B462" s="7" t="str">
        <f t="shared" si="27"/>
        <v/>
      </c>
      <c r="E462" s="50" t="str">
        <f>IF(C462="","",IFERROR(VLOOKUP(C462,Clientes!$C$2:$D$1000,2,FALSE),"Não definido"))</f>
        <v/>
      </c>
      <c r="K462" s="8" t="str">
        <f t="shared" si="26"/>
        <v/>
      </c>
      <c r="L462" s="3" t="str">
        <f t="shared" si="25"/>
        <v/>
      </c>
      <c r="P462" s="51"/>
    </row>
    <row r="463" spans="2:16" x14ac:dyDescent="0.25">
      <c r="B463" s="7" t="str">
        <f t="shared" si="27"/>
        <v/>
      </c>
      <c r="E463" s="50" t="str">
        <f>IF(C463="","",IFERROR(VLOOKUP(C463,Clientes!$C$2:$D$1000,2,FALSE),"Não definido"))</f>
        <v/>
      </c>
      <c r="K463" s="8" t="str">
        <f t="shared" si="26"/>
        <v/>
      </c>
      <c r="L463" s="3" t="str">
        <f t="shared" si="25"/>
        <v/>
      </c>
      <c r="P463" s="51"/>
    </row>
    <row r="464" spans="2:16" x14ac:dyDescent="0.25">
      <c r="B464" s="7" t="str">
        <f t="shared" si="27"/>
        <v/>
      </c>
      <c r="E464" s="50" t="str">
        <f>IF(C464="","",IFERROR(VLOOKUP(C464,Clientes!$C$2:$D$1000,2,FALSE),"Não definido"))</f>
        <v/>
      </c>
      <c r="K464" s="8" t="str">
        <f t="shared" si="26"/>
        <v/>
      </c>
      <c r="L464" s="3" t="str">
        <f t="shared" si="25"/>
        <v/>
      </c>
      <c r="P464" s="51"/>
    </row>
    <row r="465" spans="2:16" x14ac:dyDescent="0.25">
      <c r="B465" s="7" t="str">
        <f t="shared" si="27"/>
        <v/>
      </c>
      <c r="E465" s="50" t="str">
        <f>IF(C465="","",IFERROR(VLOOKUP(C465,Clientes!$C$2:$D$1000,2,FALSE),"Não definido"))</f>
        <v/>
      </c>
      <c r="K465" s="8" t="str">
        <f t="shared" si="26"/>
        <v/>
      </c>
      <c r="L465" s="3" t="str">
        <f t="shared" si="25"/>
        <v/>
      </c>
      <c r="P465" s="51"/>
    </row>
    <row r="466" spans="2:16" x14ac:dyDescent="0.25">
      <c r="B466" s="7" t="str">
        <f t="shared" si="27"/>
        <v/>
      </c>
      <c r="E466" s="50" t="str">
        <f>IF(C466="","",IFERROR(VLOOKUP(C466,Clientes!$C$2:$D$1000,2,FALSE),"Não definido"))</f>
        <v/>
      </c>
      <c r="K466" s="8" t="str">
        <f t="shared" si="26"/>
        <v/>
      </c>
      <c r="L466" s="3" t="str">
        <f t="shared" si="25"/>
        <v/>
      </c>
      <c r="P466" s="51"/>
    </row>
    <row r="467" spans="2:16" x14ac:dyDescent="0.25">
      <c r="B467" s="7" t="str">
        <f t="shared" si="27"/>
        <v/>
      </c>
      <c r="E467" s="50" t="str">
        <f>IF(C467="","",IFERROR(VLOOKUP(C467,Clientes!$C$2:$D$1000,2,FALSE),"Não definido"))</f>
        <v/>
      </c>
      <c r="K467" s="8" t="str">
        <f t="shared" si="26"/>
        <v/>
      </c>
      <c r="L467" s="3" t="str">
        <f t="shared" si="25"/>
        <v/>
      </c>
      <c r="P467" s="51"/>
    </row>
    <row r="468" spans="2:16" x14ac:dyDescent="0.25">
      <c r="B468" s="7" t="str">
        <f t="shared" si="27"/>
        <v/>
      </c>
      <c r="E468" s="50" t="str">
        <f>IF(C468="","",IFERROR(VLOOKUP(C468,Clientes!$C$2:$D$1000,2,FALSE),"Não definido"))</f>
        <v/>
      </c>
      <c r="K468" s="8" t="str">
        <f t="shared" si="26"/>
        <v/>
      </c>
      <c r="L468" s="3" t="str">
        <f t="shared" si="25"/>
        <v/>
      </c>
      <c r="P468" s="51"/>
    </row>
    <row r="469" spans="2:16" x14ac:dyDescent="0.25">
      <c r="B469" s="7" t="str">
        <f t="shared" si="27"/>
        <v/>
      </c>
      <c r="E469" s="50" t="str">
        <f>IF(C469="","",IFERROR(VLOOKUP(C469,Clientes!$C$2:$D$1000,2,FALSE),"Não definido"))</f>
        <v/>
      </c>
      <c r="K469" s="8" t="str">
        <f t="shared" si="26"/>
        <v/>
      </c>
      <c r="L469" s="3" t="str">
        <f t="shared" si="25"/>
        <v/>
      </c>
      <c r="P469" s="51"/>
    </row>
    <row r="470" spans="2:16" x14ac:dyDescent="0.25">
      <c r="B470" s="7" t="str">
        <f t="shared" si="27"/>
        <v/>
      </c>
      <c r="E470" s="50" t="str">
        <f>IF(C470="","",IFERROR(VLOOKUP(C470,Clientes!$C$2:$D$1000,2,FALSE),"Não definido"))</f>
        <v/>
      </c>
      <c r="K470" s="8" t="str">
        <f t="shared" si="26"/>
        <v/>
      </c>
      <c r="L470" s="3" t="str">
        <f t="shared" si="25"/>
        <v/>
      </c>
      <c r="P470" s="51"/>
    </row>
    <row r="471" spans="2:16" x14ac:dyDescent="0.25">
      <c r="B471" s="7" t="str">
        <f t="shared" si="27"/>
        <v/>
      </c>
      <c r="E471" s="50" t="str">
        <f>IF(C471="","",IFERROR(VLOOKUP(C471,Clientes!$C$2:$D$1000,2,FALSE),"Não definido"))</f>
        <v/>
      </c>
      <c r="K471" s="8" t="str">
        <f t="shared" si="26"/>
        <v/>
      </c>
      <c r="L471" s="3" t="str">
        <f t="shared" si="25"/>
        <v/>
      </c>
      <c r="P471" s="51"/>
    </row>
    <row r="472" spans="2:16" x14ac:dyDescent="0.25">
      <c r="B472" s="7" t="str">
        <f t="shared" si="27"/>
        <v/>
      </c>
      <c r="E472" s="50" t="str">
        <f>IF(C472="","",IFERROR(VLOOKUP(C472,Clientes!$C$2:$D$1000,2,FALSE),"Não definido"))</f>
        <v/>
      </c>
      <c r="K472" s="8" t="str">
        <f t="shared" si="26"/>
        <v/>
      </c>
      <c r="L472" s="3" t="str">
        <f t="shared" si="25"/>
        <v/>
      </c>
      <c r="P472" s="51"/>
    </row>
    <row r="473" spans="2:16" x14ac:dyDescent="0.25">
      <c r="B473" s="7" t="str">
        <f t="shared" si="27"/>
        <v/>
      </c>
      <c r="E473" s="50" t="str">
        <f>IF(C473="","",IFERROR(VLOOKUP(C473,Clientes!$C$2:$D$1000,2,FALSE),"Não definido"))</f>
        <v/>
      </c>
      <c r="K473" s="8" t="str">
        <f t="shared" si="26"/>
        <v/>
      </c>
      <c r="L473" s="3" t="str">
        <f t="shared" si="25"/>
        <v/>
      </c>
      <c r="P473" s="51"/>
    </row>
    <row r="474" spans="2:16" x14ac:dyDescent="0.25">
      <c r="B474" s="7" t="str">
        <f t="shared" si="27"/>
        <v/>
      </c>
      <c r="E474" s="50" t="str">
        <f>IF(C474="","",IFERROR(VLOOKUP(C474,Clientes!$C$2:$D$1000,2,FALSE),"Não definido"))</f>
        <v/>
      </c>
      <c r="K474" s="8" t="str">
        <f t="shared" si="26"/>
        <v/>
      </c>
      <c r="L474" s="3" t="str">
        <f t="shared" si="25"/>
        <v/>
      </c>
      <c r="P474" s="51"/>
    </row>
    <row r="475" spans="2:16" x14ac:dyDescent="0.25">
      <c r="B475" s="7" t="str">
        <f t="shared" si="27"/>
        <v/>
      </c>
      <c r="E475" s="50" t="str">
        <f>IF(C475="","",IFERROR(VLOOKUP(C475,Clientes!$C$2:$D$1000,2,FALSE),"Não definido"))</f>
        <v/>
      </c>
      <c r="K475" s="8" t="str">
        <f t="shared" si="26"/>
        <v/>
      </c>
      <c r="L475" s="3" t="str">
        <f t="shared" si="25"/>
        <v/>
      </c>
      <c r="P475" s="51"/>
    </row>
    <row r="476" spans="2:16" x14ac:dyDescent="0.25">
      <c r="B476" s="7" t="str">
        <f t="shared" si="27"/>
        <v/>
      </c>
      <c r="E476" s="50" t="str">
        <f>IF(C476="","",IFERROR(VLOOKUP(C476,Clientes!$C$2:$D$1000,2,FALSE),"Não definido"))</f>
        <v/>
      </c>
      <c r="K476" s="8" t="str">
        <f t="shared" si="26"/>
        <v/>
      </c>
      <c r="L476" s="3" t="str">
        <f t="shared" si="25"/>
        <v/>
      </c>
      <c r="P476" s="51"/>
    </row>
    <row r="477" spans="2:16" x14ac:dyDescent="0.25">
      <c r="B477" s="7" t="str">
        <f t="shared" si="27"/>
        <v/>
      </c>
      <c r="E477" s="50" t="str">
        <f>IF(C477="","",IFERROR(VLOOKUP(C477,Clientes!$C$2:$D$1000,2,FALSE),"Não definido"))</f>
        <v/>
      </c>
      <c r="K477" s="8" t="str">
        <f t="shared" si="26"/>
        <v/>
      </c>
      <c r="L477" s="3" t="str">
        <f t="shared" si="25"/>
        <v/>
      </c>
      <c r="P477" s="51"/>
    </row>
    <row r="478" spans="2:16" x14ac:dyDescent="0.25">
      <c r="B478" s="7" t="str">
        <f t="shared" si="27"/>
        <v/>
      </c>
      <c r="E478" s="50" t="str">
        <f>IF(C478="","",IFERROR(VLOOKUP(C478,Clientes!$C$2:$D$1000,2,FALSE),"Não definido"))</f>
        <v/>
      </c>
      <c r="K478" s="8" t="str">
        <f t="shared" si="26"/>
        <v/>
      </c>
      <c r="L478" s="3" t="str">
        <f t="shared" si="25"/>
        <v/>
      </c>
      <c r="P478" s="51"/>
    </row>
    <row r="479" spans="2:16" x14ac:dyDescent="0.25">
      <c r="B479" s="7" t="str">
        <f t="shared" si="27"/>
        <v/>
      </c>
      <c r="E479" s="50" t="str">
        <f>IF(C479="","",IFERROR(VLOOKUP(C479,Clientes!$C$2:$D$1000,2,FALSE),"Não definido"))</f>
        <v/>
      </c>
      <c r="K479" s="8" t="str">
        <f t="shared" si="26"/>
        <v/>
      </c>
      <c r="L479" s="3" t="str">
        <f t="shared" si="25"/>
        <v/>
      </c>
      <c r="P479" s="51"/>
    </row>
    <row r="480" spans="2:16" x14ac:dyDescent="0.25">
      <c r="B480" s="7" t="str">
        <f t="shared" si="27"/>
        <v/>
      </c>
      <c r="E480" s="50" t="str">
        <f>IF(C480="","",IFERROR(VLOOKUP(C480,Clientes!$C$2:$D$1000,2,FALSE),"Não definido"))</f>
        <v/>
      </c>
      <c r="K480" s="8" t="str">
        <f t="shared" si="26"/>
        <v/>
      </c>
      <c r="L480" s="3" t="str">
        <f t="shared" ref="L480:L500" si="28">IF(A480="","",IF(K480&gt;=1,"Concluído",IF(K480&gt;=0.8,"Parcial","Não executado")))</f>
        <v/>
      </c>
      <c r="P480" s="51"/>
    </row>
    <row r="481" spans="2:16" x14ac:dyDescent="0.25">
      <c r="B481" s="7" t="str">
        <f t="shared" si="27"/>
        <v/>
      </c>
      <c r="E481" s="50" t="str">
        <f>IF(C481="","",IFERROR(VLOOKUP(C481,Clientes!$C$2:$D$1000,2,FALSE),"Não definido"))</f>
        <v/>
      </c>
      <c r="K481" s="8" t="str">
        <f t="shared" si="26"/>
        <v/>
      </c>
      <c r="L481" s="3" t="str">
        <f t="shared" si="28"/>
        <v/>
      </c>
      <c r="P481" s="51"/>
    </row>
    <row r="482" spans="2:16" x14ac:dyDescent="0.25">
      <c r="B482" s="7" t="str">
        <f t="shared" si="27"/>
        <v/>
      </c>
      <c r="E482" s="50" t="str">
        <f>IF(C482="","",IFERROR(VLOOKUP(C482,Clientes!$C$2:$D$1000,2,FALSE),"Não definido"))</f>
        <v/>
      </c>
      <c r="K482" s="8" t="str">
        <f t="shared" si="26"/>
        <v/>
      </c>
      <c r="L482" s="3" t="str">
        <f t="shared" si="28"/>
        <v/>
      </c>
      <c r="P482" s="51"/>
    </row>
    <row r="483" spans="2:16" x14ac:dyDescent="0.25">
      <c r="B483" s="7" t="str">
        <f t="shared" si="27"/>
        <v/>
      </c>
      <c r="E483" s="50" t="str">
        <f>IF(C483="","",IFERROR(VLOOKUP(C483,Clientes!$C$2:$D$1000,2,FALSE),"Não definido"))</f>
        <v/>
      </c>
      <c r="K483" s="8" t="str">
        <f t="shared" si="26"/>
        <v/>
      </c>
      <c r="L483" s="3" t="str">
        <f t="shared" si="28"/>
        <v/>
      </c>
      <c r="P483" s="51"/>
    </row>
    <row r="484" spans="2:16" x14ac:dyDescent="0.25">
      <c r="B484" s="7" t="str">
        <f t="shared" si="27"/>
        <v/>
      </c>
      <c r="E484" s="50" t="str">
        <f>IF(C484="","",IFERROR(VLOOKUP(C484,Clientes!$C$2:$D$1000,2,FALSE),"Não definido"))</f>
        <v/>
      </c>
      <c r="K484" s="8" t="str">
        <f t="shared" si="26"/>
        <v/>
      </c>
      <c r="L484" s="3" t="str">
        <f t="shared" si="28"/>
        <v/>
      </c>
      <c r="P484" s="51"/>
    </row>
    <row r="485" spans="2:16" x14ac:dyDescent="0.25">
      <c r="B485" s="7" t="str">
        <f t="shared" si="27"/>
        <v/>
      </c>
      <c r="E485" s="50" t="str">
        <f>IF(C485="","",IFERROR(VLOOKUP(C485,Clientes!$C$2:$D$1000,2,FALSE),"Não definido"))</f>
        <v/>
      </c>
      <c r="K485" s="8" t="str">
        <f t="shared" si="26"/>
        <v/>
      </c>
      <c r="L485" s="3" t="str">
        <f t="shared" si="28"/>
        <v/>
      </c>
      <c r="P485" s="51"/>
    </row>
    <row r="486" spans="2:16" x14ac:dyDescent="0.25">
      <c r="B486" s="7" t="str">
        <f t="shared" si="27"/>
        <v/>
      </c>
      <c r="E486" s="50" t="str">
        <f>IF(C486="","",IFERROR(VLOOKUP(C486,Clientes!$C$2:$D$1000,2,FALSE),"Não definido"))</f>
        <v/>
      </c>
      <c r="K486" s="8" t="str">
        <f t="shared" si="26"/>
        <v/>
      </c>
      <c r="L486" s="3" t="str">
        <f t="shared" si="28"/>
        <v/>
      </c>
      <c r="P486" s="51"/>
    </row>
    <row r="487" spans="2:16" x14ac:dyDescent="0.25">
      <c r="B487" s="7" t="str">
        <f t="shared" si="27"/>
        <v/>
      </c>
      <c r="E487" s="50" t="str">
        <f>IF(C487="","",IFERROR(VLOOKUP(C487,Clientes!$C$2:$D$1000,2,FALSE),"Não definido"))</f>
        <v/>
      </c>
      <c r="K487" s="8" t="str">
        <f t="shared" si="26"/>
        <v/>
      </c>
      <c r="L487" s="3" t="str">
        <f t="shared" si="28"/>
        <v/>
      </c>
      <c r="P487" s="51"/>
    </row>
    <row r="488" spans="2:16" x14ac:dyDescent="0.25">
      <c r="B488" s="7" t="str">
        <f t="shared" si="27"/>
        <v/>
      </c>
      <c r="E488" s="50" t="str">
        <f>IF(C488="","",IFERROR(VLOOKUP(C488,Clientes!$C$2:$D$1000,2,FALSE),"Não definido"))</f>
        <v/>
      </c>
      <c r="K488" s="8" t="str">
        <f t="shared" si="26"/>
        <v/>
      </c>
      <c r="L488" s="3" t="str">
        <f t="shared" si="28"/>
        <v/>
      </c>
      <c r="P488" s="51"/>
    </row>
    <row r="489" spans="2:16" x14ac:dyDescent="0.25">
      <c r="B489" s="7" t="str">
        <f t="shared" si="27"/>
        <v/>
      </c>
      <c r="E489" s="50" t="str">
        <f>IF(C489="","",IFERROR(VLOOKUP(C489,Clientes!$C$2:$D$1000,2,FALSE),"Não definido"))</f>
        <v/>
      </c>
      <c r="K489" s="8" t="str">
        <f t="shared" si="26"/>
        <v/>
      </c>
      <c r="L489" s="3" t="str">
        <f t="shared" si="28"/>
        <v/>
      </c>
      <c r="P489" s="51"/>
    </row>
    <row r="490" spans="2:16" x14ac:dyDescent="0.25">
      <c r="B490" s="7" t="str">
        <f t="shared" si="27"/>
        <v/>
      </c>
      <c r="E490" s="50" t="str">
        <f>IF(C490="","",IFERROR(VLOOKUP(C490,Clientes!$C$2:$D$1000,2,FALSE),"Não definido"))</f>
        <v/>
      </c>
      <c r="K490" s="8" t="str">
        <f t="shared" si="26"/>
        <v/>
      </c>
      <c r="L490" s="3" t="str">
        <f t="shared" si="28"/>
        <v/>
      </c>
      <c r="P490" s="51"/>
    </row>
    <row r="491" spans="2:16" x14ac:dyDescent="0.25">
      <c r="B491" s="7" t="str">
        <f t="shared" si="27"/>
        <v/>
      </c>
      <c r="E491" s="50" t="str">
        <f>IF(C491="","",IFERROR(VLOOKUP(C491,Clientes!$C$2:$D$1000,2,FALSE),"Não definido"))</f>
        <v/>
      </c>
      <c r="K491" s="8" t="str">
        <f t="shared" si="26"/>
        <v/>
      </c>
      <c r="L491" s="3" t="str">
        <f t="shared" si="28"/>
        <v/>
      </c>
      <c r="P491" s="51"/>
    </row>
    <row r="492" spans="2:16" x14ac:dyDescent="0.25">
      <c r="B492" s="7" t="str">
        <f t="shared" si="27"/>
        <v/>
      </c>
      <c r="E492" s="50" t="str">
        <f>IF(C492="","",IFERROR(VLOOKUP(C492,Clientes!$C$2:$D$1000,2,FALSE),"Não definido"))</f>
        <v/>
      </c>
      <c r="K492" s="8" t="str">
        <f t="shared" si="26"/>
        <v/>
      </c>
      <c r="L492" s="3" t="str">
        <f t="shared" si="28"/>
        <v/>
      </c>
      <c r="P492" s="51"/>
    </row>
    <row r="493" spans="2:16" x14ac:dyDescent="0.25">
      <c r="B493" s="7" t="str">
        <f t="shared" si="27"/>
        <v/>
      </c>
      <c r="E493" s="50" t="str">
        <f>IF(C493="","",IFERROR(VLOOKUP(C493,Clientes!$C$2:$D$1000,2,FALSE),"Não definido"))</f>
        <v/>
      </c>
      <c r="K493" s="8" t="str">
        <f t="shared" si="26"/>
        <v/>
      </c>
      <c r="L493" s="3" t="str">
        <f t="shared" si="28"/>
        <v/>
      </c>
      <c r="P493" s="51"/>
    </row>
    <row r="494" spans="2:16" x14ac:dyDescent="0.25">
      <c r="B494" s="7" t="str">
        <f t="shared" si="27"/>
        <v/>
      </c>
      <c r="E494" s="50" t="str">
        <f>IF(C494="","",IFERROR(VLOOKUP(C494,Clientes!$C$2:$D$1000,2,FALSE),"Não definido"))</f>
        <v/>
      </c>
      <c r="K494" s="8" t="str">
        <f t="shared" si="26"/>
        <v/>
      </c>
      <c r="L494" s="3" t="str">
        <f t="shared" si="28"/>
        <v/>
      </c>
      <c r="P494" s="51"/>
    </row>
    <row r="495" spans="2:16" x14ac:dyDescent="0.25">
      <c r="B495" s="7" t="str">
        <f t="shared" si="27"/>
        <v/>
      </c>
      <c r="E495" s="50" t="str">
        <f>IF(C495="","",IFERROR(VLOOKUP(C495,Clientes!$C$2:$D$1000,2,FALSE),"Não definido"))</f>
        <v/>
      </c>
      <c r="K495" s="8" t="str">
        <f t="shared" si="26"/>
        <v/>
      </c>
      <c r="L495" s="3" t="str">
        <f t="shared" si="28"/>
        <v/>
      </c>
      <c r="P495" s="51"/>
    </row>
    <row r="496" spans="2:16" x14ac:dyDescent="0.25">
      <c r="B496" s="7" t="str">
        <f t="shared" si="27"/>
        <v/>
      </c>
      <c r="E496" s="50" t="str">
        <f>IF(C496="","",IFERROR(VLOOKUP(C496,Clientes!$C$2:$D$1000,2,FALSE),"Não definido"))</f>
        <v/>
      </c>
      <c r="K496" s="8" t="str">
        <f t="shared" si="26"/>
        <v/>
      </c>
      <c r="L496" s="3" t="str">
        <f t="shared" si="28"/>
        <v/>
      </c>
      <c r="P496" s="51"/>
    </row>
    <row r="497" spans="2:16" x14ac:dyDescent="0.25">
      <c r="B497" s="7" t="str">
        <f t="shared" si="27"/>
        <v/>
      </c>
      <c r="E497" s="50" t="str">
        <f>IF(C497="","",IFERROR(VLOOKUP(C497,Clientes!$C$2:$D$1000,2,FALSE),"Não definido"))</f>
        <v/>
      </c>
      <c r="K497" s="8" t="str">
        <f t="shared" si="26"/>
        <v/>
      </c>
      <c r="L497" s="3" t="str">
        <f t="shared" si="28"/>
        <v/>
      </c>
      <c r="P497" s="51"/>
    </row>
    <row r="498" spans="2:16" x14ac:dyDescent="0.25">
      <c r="B498" s="7" t="str">
        <f t="shared" si="27"/>
        <v/>
      </c>
      <c r="E498" s="50" t="str">
        <f>IF(C498="","",IFERROR(VLOOKUP(C498,Clientes!$C$2:$D$1000,2,FALSE),"Não definido"))</f>
        <v/>
      </c>
      <c r="K498" s="8" t="str">
        <f t="shared" si="26"/>
        <v/>
      </c>
      <c r="L498" s="3" t="str">
        <f t="shared" si="28"/>
        <v/>
      </c>
      <c r="P498" s="51"/>
    </row>
    <row r="499" spans="2:16" x14ac:dyDescent="0.25">
      <c r="B499" s="7" t="str">
        <f t="shared" si="27"/>
        <v/>
      </c>
      <c r="E499" s="51"/>
      <c r="K499" s="8" t="str">
        <f t="shared" si="26"/>
        <v/>
      </c>
      <c r="L499" s="3" t="str">
        <f t="shared" si="28"/>
        <v/>
      </c>
      <c r="P499" s="51"/>
    </row>
    <row r="500" spans="2:16" x14ac:dyDescent="0.25">
      <c r="B500" s="7" t="str">
        <f t="shared" si="27"/>
        <v/>
      </c>
      <c r="E500" s="51"/>
      <c r="K500" s="8" t="str">
        <f t="shared" si="26"/>
        <v/>
      </c>
      <c r="L500" s="3" t="str">
        <f t="shared" si="28"/>
        <v/>
      </c>
      <c r="P500" s="51"/>
    </row>
    <row r="501" spans="2:16" x14ac:dyDescent="0.25">
      <c r="E501" s="51"/>
      <c r="P501" s="51"/>
    </row>
    <row r="502" spans="2:16" x14ac:dyDescent="0.25">
      <c r="E502" s="51"/>
      <c r="P502" s="51"/>
    </row>
    <row r="503" spans="2:16" x14ac:dyDescent="0.25">
      <c r="E503" s="51"/>
      <c r="P503" s="51"/>
    </row>
    <row r="504" spans="2:16" x14ac:dyDescent="0.25">
      <c r="E504" s="51"/>
      <c r="P504" s="51"/>
    </row>
    <row r="505" spans="2:16" x14ac:dyDescent="0.25">
      <c r="E505" s="51"/>
      <c r="P505" s="51"/>
    </row>
    <row r="506" spans="2:16" x14ac:dyDescent="0.25">
      <c r="E506" s="51"/>
      <c r="P506" s="51"/>
    </row>
    <row r="507" spans="2:16" x14ac:dyDescent="0.25">
      <c r="E507" s="51"/>
      <c r="G507" s="66"/>
      <c r="P507" s="51"/>
    </row>
    <row r="508" spans="2:16" x14ac:dyDescent="0.25">
      <c r="E508" s="51"/>
      <c r="P508" s="51"/>
    </row>
    <row r="509" spans="2:16" x14ac:dyDescent="0.25">
      <c r="E509" s="51"/>
      <c r="P509" s="51"/>
    </row>
    <row r="510" spans="2:16" x14ac:dyDescent="0.25">
      <c r="E510" s="51"/>
      <c r="P510" s="51"/>
    </row>
    <row r="511" spans="2:16" x14ac:dyDescent="0.25">
      <c r="E511" s="51"/>
      <c r="P511" s="51"/>
    </row>
    <row r="512" spans="2:16" x14ac:dyDescent="0.25">
      <c r="E512" s="51"/>
      <c r="P512" s="51"/>
    </row>
    <row r="513" spans="5:16" x14ac:dyDescent="0.25">
      <c r="E513" s="51"/>
      <c r="P513" s="51"/>
    </row>
    <row r="514" spans="5:16" x14ac:dyDescent="0.25">
      <c r="E514" s="51"/>
      <c r="P514" s="51"/>
    </row>
    <row r="515" spans="5:16" x14ac:dyDescent="0.25">
      <c r="E515" s="51"/>
      <c r="P515" s="51"/>
    </row>
    <row r="516" spans="5:16" x14ac:dyDescent="0.25">
      <c r="E516" s="51"/>
      <c r="P516" s="51"/>
    </row>
    <row r="517" spans="5:16" x14ac:dyDescent="0.25">
      <c r="E517" s="51"/>
      <c r="P517" s="51"/>
    </row>
    <row r="518" spans="5:16" x14ac:dyDescent="0.25">
      <c r="E518" s="51"/>
      <c r="P518" s="51"/>
    </row>
    <row r="519" spans="5:16" x14ac:dyDescent="0.25">
      <c r="E519" s="51"/>
      <c r="P519" s="51"/>
    </row>
    <row r="520" spans="5:16" x14ac:dyDescent="0.25">
      <c r="E520" s="51"/>
      <c r="P520" s="51"/>
    </row>
    <row r="521" spans="5:16" x14ac:dyDescent="0.25">
      <c r="E521" s="51"/>
      <c r="P521" s="51"/>
    </row>
    <row r="522" spans="5:16" x14ac:dyDescent="0.25">
      <c r="E522" s="51"/>
      <c r="P522" s="51"/>
    </row>
    <row r="523" spans="5:16" x14ac:dyDescent="0.25">
      <c r="E523" s="51"/>
      <c r="P523" s="51"/>
    </row>
    <row r="524" spans="5:16" x14ac:dyDescent="0.25">
      <c r="E524" s="51"/>
      <c r="P524" s="51"/>
    </row>
    <row r="525" spans="5:16" x14ac:dyDescent="0.25">
      <c r="E525" s="51"/>
      <c r="P525" s="51"/>
    </row>
    <row r="526" spans="5:16" x14ac:dyDescent="0.25">
      <c r="E526" s="51"/>
      <c r="P526" s="51"/>
    </row>
    <row r="527" spans="5:16" x14ac:dyDescent="0.25">
      <c r="E527" s="51"/>
      <c r="P527" s="51"/>
    </row>
    <row r="528" spans="5:16" x14ac:dyDescent="0.25">
      <c r="E528" s="51"/>
      <c r="P528" s="51"/>
    </row>
    <row r="529" spans="5:16" x14ac:dyDescent="0.25">
      <c r="E529" s="51"/>
      <c r="P529" s="51"/>
    </row>
    <row r="530" spans="5:16" x14ac:dyDescent="0.25">
      <c r="E530" s="51"/>
      <c r="P530" s="51"/>
    </row>
    <row r="531" spans="5:16" x14ac:dyDescent="0.25">
      <c r="E531" s="51"/>
      <c r="P531" s="51"/>
    </row>
    <row r="532" spans="5:16" x14ac:dyDescent="0.25">
      <c r="E532" s="51"/>
      <c r="P532" s="51"/>
    </row>
    <row r="533" spans="5:16" x14ac:dyDescent="0.25">
      <c r="E533" s="51"/>
      <c r="P533" s="51"/>
    </row>
    <row r="534" spans="5:16" x14ac:dyDescent="0.25">
      <c r="E534" s="51"/>
      <c r="P534" s="51"/>
    </row>
    <row r="535" spans="5:16" x14ac:dyDescent="0.25">
      <c r="E535" s="51"/>
      <c r="P535" s="51"/>
    </row>
    <row r="536" spans="5:16" x14ac:dyDescent="0.25">
      <c r="E536" s="51"/>
      <c r="P536" s="51"/>
    </row>
    <row r="537" spans="5:16" x14ac:dyDescent="0.25">
      <c r="E537" s="51"/>
      <c r="P537" s="51"/>
    </row>
    <row r="538" spans="5:16" x14ac:dyDescent="0.25">
      <c r="E538" s="51"/>
      <c r="P538" s="51"/>
    </row>
    <row r="539" spans="5:16" x14ac:dyDescent="0.25">
      <c r="E539" s="51"/>
      <c r="P539" s="51"/>
    </row>
    <row r="540" spans="5:16" x14ac:dyDescent="0.25">
      <c r="E540" s="51"/>
      <c r="P540" s="51"/>
    </row>
    <row r="541" spans="5:16" x14ac:dyDescent="0.25">
      <c r="E541" s="51"/>
      <c r="P541" s="51"/>
    </row>
    <row r="542" spans="5:16" x14ac:dyDescent="0.25">
      <c r="E542" s="51"/>
      <c r="P542" s="51"/>
    </row>
    <row r="543" spans="5:16" x14ac:dyDescent="0.25">
      <c r="E543" s="51"/>
      <c r="P543" s="51"/>
    </row>
    <row r="544" spans="5:16" x14ac:dyDescent="0.25">
      <c r="E544" s="51"/>
      <c r="P544" s="51"/>
    </row>
    <row r="545" spans="5:16" x14ac:dyDescent="0.25">
      <c r="E545" s="51"/>
      <c r="P545" s="51"/>
    </row>
    <row r="546" spans="5:16" x14ac:dyDescent="0.25">
      <c r="E546" s="51"/>
      <c r="P546" s="51"/>
    </row>
    <row r="547" spans="5:16" x14ac:dyDescent="0.25">
      <c r="E547" s="51"/>
      <c r="P547" s="51"/>
    </row>
    <row r="548" spans="5:16" x14ac:dyDescent="0.25">
      <c r="E548" s="51"/>
      <c r="P548" s="51"/>
    </row>
    <row r="549" spans="5:16" x14ac:dyDescent="0.25">
      <c r="E549" s="51"/>
      <c r="P549" s="51"/>
    </row>
    <row r="550" spans="5:16" x14ac:dyDescent="0.25">
      <c r="E550" s="51"/>
      <c r="P550" s="51"/>
    </row>
    <row r="551" spans="5:16" x14ac:dyDescent="0.25">
      <c r="E551" s="51"/>
      <c r="P551" s="51"/>
    </row>
    <row r="552" spans="5:16" x14ac:dyDescent="0.25">
      <c r="E552" s="51"/>
      <c r="P552" s="51"/>
    </row>
    <row r="553" spans="5:16" x14ac:dyDescent="0.25">
      <c r="E553" s="51"/>
      <c r="P553" s="51"/>
    </row>
    <row r="554" spans="5:16" x14ac:dyDescent="0.25">
      <c r="E554" s="51"/>
      <c r="P554" s="51"/>
    </row>
    <row r="555" spans="5:16" x14ac:dyDescent="0.25">
      <c r="E555" s="51"/>
      <c r="P555" s="51"/>
    </row>
    <row r="556" spans="5:16" x14ac:dyDescent="0.25">
      <c r="E556" s="51"/>
      <c r="P556" s="51"/>
    </row>
    <row r="557" spans="5:16" x14ac:dyDescent="0.25">
      <c r="E557" s="51"/>
      <c r="P557" s="51"/>
    </row>
    <row r="558" spans="5:16" x14ac:dyDescent="0.25">
      <c r="E558" s="51"/>
      <c r="P558" s="51"/>
    </row>
    <row r="559" spans="5:16" x14ac:dyDescent="0.25">
      <c r="E559" s="51"/>
      <c r="P559" s="51"/>
    </row>
    <row r="560" spans="5:16" x14ac:dyDescent="0.25">
      <c r="E560" s="51"/>
      <c r="P560" s="51"/>
    </row>
    <row r="561" spans="5:16" x14ac:dyDescent="0.25">
      <c r="E561" s="51"/>
      <c r="P561" s="51"/>
    </row>
    <row r="562" spans="5:16" x14ac:dyDescent="0.25">
      <c r="E562" s="51"/>
      <c r="P562" s="51"/>
    </row>
    <row r="563" spans="5:16" x14ac:dyDescent="0.25">
      <c r="E563" s="51"/>
      <c r="P563" s="51"/>
    </row>
    <row r="564" spans="5:16" x14ac:dyDescent="0.25">
      <c r="E564" s="51"/>
      <c r="P564" s="51"/>
    </row>
    <row r="565" spans="5:16" x14ac:dyDescent="0.25">
      <c r="E565" s="51"/>
      <c r="P565" s="51"/>
    </row>
    <row r="566" spans="5:16" x14ac:dyDescent="0.25">
      <c r="E566" s="51"/>
      <c r="P566" s="51"/>
    </row>
    <row r="567" spans="5:16" x14ac:dyDescent="0.25">
      <c r="E567" s="51"/>
      <c r="P567" s="51"/>
    </row>
    <row r="568" spans="5:16" x14ac:dyDescent="0.25">
      <c r="E568" s="51"/>
      <c r="P568" s="51"/>
    </row>
    <row r="569" spans="5:16" x14ac:dyDescent="0.25">
      <c r="E569" s="51"/>
      <c r="P569" s="51"/>
    </row>
    <row r="570" spans="5:16" x14ac:dyDescent="0.25">
      <c r="E570" s="51"/>
      <c r="P570" s="51"/>
    </row>
    <row r="571" spans="5:16" x14ac:dyDescent="0.25">
      <c r="E571" s="51"/>
      <c r="P571" s="51"/>
    </row>
    <row r="572" spans="5:16" x14ac:dyDescent="0.25">
      <c r="E572" s="51"/>
      <c r="P572" s="51"/>
    </row>
    <row r="573" spans="5:16" x14ac:dyDescent="0.25">
      <c r="E573" s="51"/>
      <c r="P573" s="51"/>
    </row>
    <row r="574" spans="5:16" x14ac:dyDescent="0.25">
      <c r="E574" s="51"/>
      <c r="P574" s="51"/>
    </row>
    <row r="575" spans="5:16" x14ac:dyDescent="0.25">
      <c r="E575" s="51"/>
      <c r="P575" s="51"/>
    </row>
    <row r="576" spans="5:16" x14ac:dyDescent="0.25">
      <c r="E576" s="51"/>
      <c r="P576" s="51"/>
    </row>
    <row r="577" spans="5:16" x14ac:dyDescent="0.25">
      <c r="E577" s="51"/>
      <c r="P577" s="51"/>
    </row>
    <row r="578" spans="5:16" x14ac:dyDescent="0.25">
      <c r="E578" s="51"/>
      <c r="P578" s="51"/>
    </row>
    <row r="579" spans="5:16" x14ac:dyDescent="0.25">
      <c r="E579" s="51"/>
      <c r="P579" s="51"/>
    </row>
    <row r="580" spans="5:16" x14ac:dyDescent="0.25">
      <c r="E580" s="51"/>
      <c r="P580" s="51"/>
    </row>
    <row r="581" spans="5:16" x14ac:dyDescent="0.25">
      <c r="E581" s="51"/>
      <c r="P581" s="51"/>
    </row>
    <row r="582" spans="5:16" x14ac:dyDescent="0.25">
      <c r="E582" s="51"/>
      <c r="P582" s="51"/>
    </row>
    <row r="583" spans="5:16" x14ac:dyDescent="0.25">
      <c r="E583" s="51"/>
      <c r="P583" s="51"/>
    </row>
    <row r="584" spans="5:16" x14ac:dyDescent="0.25">
      <c r="E584" s="51"/>
      <c r="P584" s="51"/>
    </row>
    <row r="585" spans="5:16" x14ac:dyDescent="0.25">
      <c r="E585" s="51"/>
      <c r="P585" s="51"/>
    </row>
    <row r="586" spans="5:16" x14ac:dyDescent="0.25">
      <c r="E586" s="51"/>
      <c r="P586" s="51"/>
    </row>
    <row r="587" spans="5:16" x14ac:dyDescent="0.25">
      <c r="E587" s="51"/>
      <c r="P587" s="51"/>
    </row>
    <row r="588" spans="5:16" x14ac:dyDescent="0.25">
      <c r="E588" s="51"/>
      <c r="P588" s="51"/>
    </row>
    <row r="589" spans="5:16" x14ac:dyDescent="0.25">
      <c r="E589" s="51"/>
      <c r="P589" s="51"/>
    </row>
    <row r="590" spans="5:16" x14ac:dyDescent="0.25">
      <c r="E590" s="51"/>
      <c r="P590" s="51"/>
    </row>
    <row r="591" spans="5:16" x14ac:dyDescent="0.25">
      <c r="E591" s="51"/>
      <c r="P591" s="51"/>
    </row>
    <row r="592" spans="5:16" x14ac:dyDescent="0.25">
      <c r="E592" s="51"/>
      <c r="P592" s="51"/>
    </row>
    <row r="593" spans="5:16" x14ac:dyDescent="0.25">
      <c r="E593" s="51"/>
      <c r="P593" s="51"/>
    </row>
    <row r="594" spans="5:16" x14ac:dyDescent="0.25">
      <c r="E594" s="51"/>
      <c r="P594" s="51"/>
    </row>
    <row r="595" spans="5:16" x14ac:dyDescent="0.25">
      <c r="E595" s="51"/>
      <c r="P595" s="51"/>
    </row>
    <row r="596" spans="5:16" x14ac:dyDescent="0.25">
      <c r="E596" s="51"/>
      <c r="P596" s="51"/>
    </row>
    <row r="597" spans="5:16" x14ac:dyDescent="0.25">
      <c r="E597" s="51"/>
      <c r="P597" s="51"/>
    </row>
    <row r="598" spans="5:16" x14ac:dyDescent="0.25">
      <c r="E598" s="51"/>
      <c r="P598" s="51"/>
    </row>
    <row r="599" spans="5:16" x14ac:dyDescent="0.25">
      <c r="E599" s="51"/>
      <c r="P599" s="51"/>
    </row>
    <row r="600" spans="5:16" x14ac:dyDescent="0.25">
      <c r="E600" s="51"/>
      <c r="P600" s="51"/>
    </row>
    <row r="601" spans="5:16" x14ac:dyDescent="0.25">
      <c r="E601" s="51"/>
      <c r="P601" s="51"/>
    </row>
    <row r="602" spans="5:16" x14ac:dyDescent="0.25">
      <c r="E602" s="51"/>
      <c r="P602" s="51"/>
    </row>
    <row r="603" spans="5:16" x14ac:dyDescent="0.25">
      <c r="E603" s="51"/>
      <c r="P603" s="51"/>
    </row>
    <row r="604" spans="5:16" x14ac:dyDescent="0.25">
      <c r="E604" s="51"/>
      <c r="P604" s="51"/>
    </row>
    <row r="605" spans="5:16" x14ac:dyDescent="0.25">
      <c r="E605" s="51"/>
      <c r="P605" s="51"/>
    </row>
    <row r="606" spans="5:16" x14ac:dyDescent="0.25">
      <c r="E606" s="51"/>
      <c r="P606" s="51"/>
    </row>
    <row r="607" spans="5:16" x14ac:dyDescent="0.25">
      <c r="E607" s="51"/>
      <c r="P607" s="51"/>
    </row>
    <row r="608" spans="5:16" x14ac:dyDescent="0.25">
      <c r="E608" s="51"/>
      <c r="P608" s="51"/>
    </row>
    <row r="609" spans="5:16" x14ac:dyDescent="0.25">
      <c r="E609" s="51"/>
      <c r="P609" s="51"/>
    </row>
    <row r="610" spans="5:16" x14ac:dyDescent="0.25">
      <c r="E610" s="51"/>
      <c r="P610" s="51"/>
    </row>
    <row r="611" spans="5:16" x14ac:dyDescent="0.25">
      <c r="E611" s="51"/>
      <c r="P611" s="51"/>
    </row>
    <row r="612" spans="5:16" x14ac:dyDescent="0.25">
      <c r="E612" s="51"/>
      <c r="P612" s="51"/>
    </row>
    <row r="613" spans="5:16" x14ac:dyDescent="0.25">
      <c r="E613" s="51"/>
      <c r="P613" s="51"/>
    </row>
    <row r="614" spans="5:16" x14ac:dyDescent="0.25">
      <c r="E614" s="51"/>
      <c r="P614" s="51"/>
    </row>
    <row r="615" spans="5:16" x14ac:dyDescent="0.25">
      <c r="E615" s="51"/>
      <c r="P615" s="51"/>
    </row>
    <row r="616" spans="5:16" x14ac:dyDescent="0.25">
      <c r="E616" s="51"/>
      <c r="P616" s="51"/>
    </row>
    <row r="617" spans="5:16" x14ac:dyDescent="0.25">
      <c r="E617" s="51"/>
      <c r="P617" s="51"/>
    </row>
    <row r="618" spans="5:16" x14ac:dyDescent="0.25">
      <c r="E618" s="51"/>
      <c r="P618" s="51"/>
    </row>
    <row r="619" spans="5:16" x14ac:dyDescent="0.25">
      <c r="E619" s="51"/>
      <c r="P619" s="51"/>
    </row>
    <row r="620" spans="5:16" x14ac:dyDescent="0.25">
      <c r="E620" s="51"/>
      <c r="P620" s="51"/>
    </row>
    <row r="621" spans="5:16" x14ac:dyDescent="0.25">
      <c r="E621" s="51"/>
      <c r="P621" s="51"/>
    </row>
    <row r="622" spans="5:16" x14ac:dyDescent="0.25">
      <c r="E622" s="51"/>
      <c r="P622" s="51"/>
    </row>
    <row r="623" spans="5:16" x14ac:dyDescent="0.25">
      <c r="E623" s="51"/>
      <c r="P623" s="51"/>
    </row>
    <row r="624" spans="5:16" x14ac:dyDescent="0.25">
      <c r="E624" s="51"/>
      <c r="P624" s="51"/>
    </row>
    <row r="625" spans="5:16" x14ac:dyDescent="0.25">
      <c r="E625" s="51"/>
      <c r="P625" s="51"/>
    </row>
    <row r="626" spans="5:16" x14ac:dyDescent="0.25">
      <c r="E626" s="51"/>
      <c r="P626" s="51"/>
    </row>
    <row r="627" spans="5:16" x14ac:dyDescent="0.25">
      <c r="E627" s="51"/>
      <c r="P627" s="51"/>
    </row>
    <row r="628" spans="5:16" x14ac:dyDescent="0.25">
      <c r="E628" s="51"/>
      <c r="P628" s="51"/>
    </row>
    <row r="629" spans="5:16" x14ac:dyDescent="0.25">
      <c r="E629" s="51"/>
      <c r="P629" s="51"/>
    </row>
    <row r="630" spans="5:16" x14ac:dyDescent="0.25">
      <c r="E630" s="51"/>
      <c r="P630" s="51"/>
    </row>
    <row r="631" spans="5:16" x14ac:dyDescent="0.25">
      <c r="E631" s="51"/>
      <c r="P631" s="51"/>
    </row>
    <row r="632" spans="5:16" x14ac:dyDescent="0.25">
      <c r="E632" s="51"/>
      <c r="P632" s="51"/>
    </row>
    <row r="633" spans="5:16" x14ac:dyDescent="0.25">
      <c r="E633" s="51"/>
      <c r="P633" s="51"/>
    </row>
    <row r="634" spans="5:16" x14ac:dyDescent="0.25">
      <c r="E634" s="51"/>
      <c r="P634" s="51"/>
    </row>
    <row r="635" spans="5:16" x14ac:dyDescent="0.25">
      <c r="E635" s="51"/>
      <c r="P635" s="51"/>
    </row>
    <row r="636" spans="5:16" x14ac:dyDescent="0.25">
      <c r="E636" s="51"/>
      <c r="P636" s="51"/>
    </row>
    <row r="637" spans="5:16" x14ac:dyDescent="0.25">
      <c r="E637" s="51"/>
      <c r="P637" s="51"/>
    </row>
    <row r="638" spans="5:16" x14ac:dyDescent="0.25">
      <c r="E638" s="51"/>
      <c r="P638" s="51"/>
    </row>
    <row r="639" spans="5:16" x14ac:dyDescent="0.25">
      <c r="E639" s="51"/>
      <c r="P639" s="51"/>
    </row>
    <row r="640" spans="5:16" x14ac:dyDescent="0.25">
      <c r="E640" s="51"/>
      <c r="P640" s="51"/>
    </row>
    <row r="641" spans="5:16" x14ac:dyDescent="0.25">
      <c r="E641" s="51"/>
      <c r="P641" s="51"/>
    </row>
    <row r="642" spans="5:16" x14ac:dyDescent="0.25">
      <c r="E642" s="51"/>
      <c r="P642" s="51"/>
    </row>
    <row r="643" spans="5:16" x14ac:dyDescent="0.25">
      <c r="E643" s="51"/>
      <c r="P643" s="51"/>
    </row>
    <row r="644" spans="5:16" x14ac:dyDescent="0.25">
      <c r="E644" s="51"/>
      <c r="P644" s="51"/>
    </row>
    <row r="645" spans="5:16" x14ac:dyDescent="0.25">
      <c r="E645" s="51"/>
      <c r="P645" s="51"/>
    </row>
    <row r="646" spans="5:16" x14ac:dyDescent="0.25">
      <c r="E646" s="51"/>
      <c r="P646" s="51"/>
    </row>
    <row r="647" spans="5:16" x14ac:dyDescent="0.25">
      <c r="E647" s="51"/>
      <c r="P647" s="51"/>
    </row>
    <row r="648" spans="5:16" x14ac:dyDescent="0.25">
      <c r="E648" s="51"/>
      <c r="P648" s="51"/>
    </row>
    <row r="649" spans="5:16" x14ac:dyDescent="0.25">
      <c r="E649" s="51"/>
      <c r="P649" s="51"/>
    </row>
    <row r="650" spans="5:16" x14ac:dyDescent="0.25">
      <c r="E650" s="51"/>
      <c r="P650" s="51"/>
    </row>
    <row r="651" spans="5:16" x14ac:dyDescent="0.25">
      <c r="E651" s="51"/>
      <c r="P651" s="51"/>
    </row>
    <row r="652" spans="5:16" x14ac:dyDescent="0.25">
      <c r="E652" s="51"/>
      <c r="P652" s="51"/>
    </row>
    <row r="653" spans="5:16" x14ac:dyDescent="0.25">
      <c r="E653" s="51"/>
      <c r="P653" s="51"/>
    </row>
    <row r="654" spans="5:16" x14ac:dyDescent="0.25">
      <c r="E654" s="51"/>
      <c r="P654" s="51"/>
    </row>
    <row r="655" spans="5:16" x14ac:dyDescent="0.25">
      <c r="E655" s="51"/>
      <c r="P655" s="51"/>
    </row>
    <row r="656" spans="5:16" x14ac:dyDescent="0.25">
      <c r="E656" s="51"/>
      <c r="P656" s="51"/>
    </row>
    <row r="657" spans="5:16" x14ac:dyDescent="0.25">
      <c r="E657" s="51"/>
      <c r="P657" s="51"/>
    </row>
    <row r="658" spans="5:16" x14ac:dyDescent="0.25">
      <c r="E658" s="51"/>
      <c r="P658" s="51"/>
    </row>
    <row r="659" spans="5:16" x14ac:dyDescent="0.25">
      <c r="E659" s="51"/>
      <c r="P659" s="51"/>
    </row>
    <row r="660" spans="5:16" x14ac:dyDescent="0.25">
      <c r="E660" s="51"/>
      <c r="P660" s="51"/>
    </row>
    <row r="661" spans="5:16" x14ac:dyDescent="0.25">
      <c r="E661" s="51"/>
      <c r="P661" s="51"/>
    </row>
    <row r="662" spans="5:16" x14ac:dyDescent="0.25">
      <c r="E662" s="51"/>
      <c r="P662" s="51"/>
    </row>
    <row r="663" spans="5:16" x14ac:dyDescent="0.25">
      <c r="E663" s="51"/>
      <c r="P663" s="51"/>
    </row>
    <row r="664" spans="5:16" x14ac:dyDescent="0.25">
      <c r="E664" s="51"/>
      <c r="P664" s="51"/>
    </row>
    <row r="665" spans="5:16" x14ac:dyDescent="0.25">
      <c r="E665" s="51"/>
      <c r="P665" s="51"/>
    </row>
    <row r="666" spans="5:16" x14ac:dyDescent="0.25">
      <c r="E666" s="51"/>
      <c r="P666" s="51"/>
    </row>
    <row r="667" spans="5:16" x14ac:dyDescent="0.25">
      <c r="E667" s="51"/>
      <c r="P667" s="51"/>
    </row>
    <row r="668" spans="5:16" x14ac:dyDescent="0.25">
      <c r="E668" s="51"/>
      <c r="P668" s="51"/>
    </row>
    <row r="669" spans="5:16" x14ac:dyDescent="0.25">
      <c r="E669" s="51"/>
      <c r="P669" s="51"/>
    </row>
    <row r="670" spans="5:16" x14ac:dyDescent="0.25">
      <c r="E670" s="51"/>
      <c r="P670" s="51"/>
    </row>
    <row r="671" spans="5:16" x14ac:dyDescent="0.25">
      <c r="E671" s="51"/>
      <c r="P671" s="51"/>
    </row>
    <row r="672" spans="5:16" x14ac:dyDescent="0.25">
      <c r="E672" s="51"/>
      <c r="P672" s="51"/>
    </row>
    <row r="673" spans="5:16" x14ac:dyDescent="0.25">
      <c r="E673" s="51"/>
      <c r="P673" s="51"/>
    </row>
    <row r="674" spans="5:16" x14ac:dyDescent="0.25">
      <c r="E674" s="51"/>
      <c r="P674" s="51"/>
    </row>
    <row r="675" spans="5:16" x14ac:dyDescent="0.25">
      <c r="E675" s="51"/>
      <c r="P675" s="51"/>
    </row>
    <row r="676" spans="5:16" x14ac:dyDescent="0.25">
      <c r="E676" s="51"/>
      <c r="P676" s="51"/>
    </row>
    <row r="677" spans="5:16" x14ac:dyDescent="0.25">
      <c r="E677" s="51"/>
      <c r="P677" s="51"/>
    </row>
    <row r="678" spans="5:16" x14ac:dyDescent="0.25">
      <c r="E678" s="51"/>
      <c r="P678" s="51"/>
    </row>
    <row r="679" spans="5:16" x14ac:dyDescent="0.25">
      <c r="E679" s="51"/>
      <c r="P679" s="51"/>
    </row>
    <row r="680" spans="5:16" x14ac:dyDescent="0.25">
      <c r="E680" s="51"/>
      <c r="P680" s="51"/>
    </row>
    <row r="681" spans="5:16" x14ac:dyDescent="0.25">
      <c r="E681" s="51"/>
      <c r="P681" s="51"/>
    </row>
    <row r="682" spans="5:16" x14ac:dyDescent="0.25">
      <c r="E682" s="51"/>
      <c r="P682" s="51"/>
    </row>
    <row r="683" spans="5:16" x14ac:dyDescent="0.25">
      <c r="E683" s="51"/>
      <c r="P683" s="51"/>
    </row>
    <row r="684" spans="5:16" x14ac:dyDescent="0.25">
      <c r="E684" s="51"/>
      <c r="P684" s="51"/>
    </row>
    <row r="685" spans="5:16" x14ac:dyDescent="0.25">
      <c r="E685" s="51"/>
      <c r="P685" s="51"/>
    </row>
    <row r="686" spans="5:16" x14ac:dyDescent="0.25">
      <c r="E686" s="51"/>
      <c r="P686" s="51"/>
    </row>
    <row r="687" spans="5:16" x14ac:dyDescent="0.25">
      <c r="E687" s="51"/>
      <c r="P687" s="51"/>
    </row>
    <row r="688" spans="5:16" x14ac:dyDescent="0.25">
      <c r="E688" s="51"/>
      <c r="P688" s="51"/>
    </row>
    <row r="689" spans="5:16" x14ac:dyDescent="0.25">
      <c r="E689" s="51"/>
      <c r="P689" s="51"/>
    </row>
    <row r="690" spans="5:16" x14ac:dyDescent="0.25">
      <c r="E690" s="51"/>
      <c r="P690" s="51"/>
    </row>
    <row r="691" spans="5:16" x14ac:dyDescent="0.25">
      <c r="E691" s="51"/>
      <c r="P691" s="51"/>
    </row>
    <row r="692" spans="5:16" x14ac:dyDescent="0.25">
      <c r="E692" s="51"/>
      <c r="P692" s="51"/>
    </row>
    <row r="693" spans="5:16" x14ac:dyDescent="0.25">
      <c r="E693" s="51"/>
      <c r="P693" s="51"/>
    </row>
    <row r="694" spans="5:16" x14ac:dyDescent="0.25">
      <c r="E694" s="51"/>
      <c r="P694" s="51"/>
    </row>
    <row r="695" spans="5:16" x14ac:dyDescent="0.25">
      <c r="E695" s="51"/>
      <c r="P695" s="51"/>
    </row>
    <row r="696" spans="5:16" x14ac:dyDescent="0.25">
      <c r="E696" s="51"/>
      <c r="P696" s="51"/>
    </row>
    <row r="697" spans="5:16" x14ac:dyDescent="0.25">
      <c r="E697" s="51"/>
      <c r="P697" s="51"/>
    </row>
    <row r="698" spans="5:16" x14ac:dyDescent="0.25">
      <c r="E698" s="51"/>
      <c r="P698" s="51"/>
    </row>
    <row r="699" spans="5:16" x14ac:dyDescent="0.25">
      <c r="E699" s="51"/>
      <c r="P699" s="51"/>
    </row>
    <row r="700" spans="5:16" x14ac:dyDescent="0.25">
      <c r="E700" s="51"/>
      <c r="P700" s="51"/>
    </row>
    <row r="701" spans="5:16" x14ac:dyDescent="0.25">
      <c r="E701" s="51"/>
      <c r="P701" s="51"/>
    </row>
    <row r="702" spans="5:16" x14ac:dyDescent="0.25">
      <c r="E702" s="51"/>
      <c r="P702" s="51"/>
    </row>
    <row r="703" spans="5:16" x14ac:dyDescent="0.25">
      <c r="E703" s="51"/>
      <c r="P703" s="51"/>
    </row>
    <row r="704" spans="5:16" x14ac:dyDescent="0.25">
      <c r="E704" s="51"/>
      <c r="P704" s="51"/>
    </row>
    <row r="705" spans="5:16" x14ac:dyDescent="0.25">
      <c r="E705" s="51"/>
      <c r="P705" s="51"/>
    </row>
    <row r="706" spans="5:16" x14ac:dyDescent="0.25">
      <c r="E706" s="51"/>
      <c r="P706" s="51"/>
    </row>
    <row r="707" spans="5:16" x14ac:dyDescent="0.25">
      <c r="E707" s="51"/>
      <c r="P707" s="51"/>
    </row>
    <row r="708" spans="5:16" x14ac:dyDescent="0.25">
      <c r="E708" s="51"/>
      <c r="P708" s="51"/>
    </row>
    <row r="709" spans="5:16" x14ac:dyDescent="0.25">
      <c r="E709" s="51"/>
      <c r="P709" s="51"/>
    </row>
    <row r="710" spans="5:16" x14ac:dyDescent="0.25">
      <c r="E710" s="51"/>
      <c r="P710" s="51"/>
    </row>
    <row r="711" spans="5:16" x14ac:dyDescent="0.25">
      <c r="E711" s="51"/>
      <c r="P711" s="51"/>
    </row>
    <row r="712" spans="5:16" x14ac:dyDescent="0.25">
      <c r="E712" s="51"/>
      <c r="P712" s="51"/>
    </row>
    <row r="713" spans="5:16" x14ac:dyDescent="0.25">
      <c r="E713" s="51"/>
      <c r="P713" s="51"/>
    </row>
    <row r="714" spans="5:16" x14ac:dyDescent="0.25">
      <c r="E714" s="51"/>
      <c r="P714" s="51"/>
    </row>
    <row r="715" spans="5:16" x14ac:dyDescent="0.25">
      <c r="E715" s="51"/>
      <c r="P715" s="51"/>
    </row>
    <row r="716" spans="5:16" x14ac:dyDescent="0.25">
      <c r="E716" s="51"/>
      <c r="P716" s="51"/>
    </row>
    <row r="717" spans="5:16" x14ac:dyDescent="0.25">
      <c r="E717" s="51"/>
      <c r="P717" s="51"/>
    </row>
    <row r="718" spans="5:16" x14ac:dyDescent="0.25">
      <c r="E718" s="51"/>
      <c r="P718" s="51"/>
    </row>
    <row r="719" spans="5:16" x14ac:dyDescent="0.25">
      <c r="E719" s="51"/>
      <c r="P719" s="51"/>
    </row>
    <row r="720" spans="5:16" x14ac:dyDescent="0.25">
      <c r="E720" s="51"/>
      <c r="P720" s="51"/>
    </row>
    <row r="721" spans="5:16" x14ac:dyDescent="0.25">
      <c r="E721" s="51"/>
      <c r="P721" s="51"/>
    </row>
    <row r="722" spans="5:16" x14ac:dyDescent="0.25">
      <c r="E722" s="51"/>
      <c r="P722" s="51"/>
    </row>
    <row r="723" spans="5:16" x14ac:dyDescent="0.25">
      <c r="E723" s="51"/>
      <c r="P723" s="51"/>
    </row>
    <row r="724" spans="5:16" x14ac:dyDescent="0.25">
      <c r="E724" s="51"/>
      <c r="P724" s="51"/>
    </row>
    <row r="725" spans="5:16" x14ac:dyDescent="0.25">
      <c r="E725" s="51"/>
      <c r="P725" s="51"/>
    </row>
    <row r="726" spans="5:16" x14ac:dyDescent="0.25">
      <c r="E726" s="51"/>
      <c r="P726" s="51"/>
    </row>
    <row r="727" spans="5:16" x14ac:dyDescent="0.25">
      <c r="E727" s="51"/>
      <c r="P727" s="51"/>
    </row>
    <row r="728" spans="5:16" x14ac:dyDescent="0.25">
      <c r="E728" s="51"/>
      <c r="P728" s="51"/>
    </row>
    <row r="729" spans="5:16" x14ac:dyDescent="0.25">
      <c r="E729" s="51"/>
      <c r="P729" s="51"/>
    </row>
    <row r="730" spans="5:16" x14ac:dyDescent="0.25">
      <c r="E730" s="51"/>
      <c r="P730" s="51"/>
    </row>
    <row r="731" spans="5:16" x14ac:dyDescent="0.25">
      <c r="E731" s="51"/>
      <c r="P731" s="51"/>
    </row>
    <row r="732" spans="5:16" x14ac:dyDescent="0.25">
      <c r="E732" s="51"/>
      <c r="P732" s="51"/>
    </row>
    <row r="733" spans="5:16" x14ac:dyDescent="0.25">
      <c r="E733" s="51"/>
      <c r="P733" s="51"/>
    </row>
    <row r="734" spans="5:16" x14ac:dyDescent="0.25">
      <c r="E734" s="51"/>
      <c r="P734" s="51"/>
    </row>
    <row r="735" spans="5:16" x14ac:dyDescent="0.25">
      <c r="E735" s="51"/>
      <c r="P735" s="51"/>
    </row>
    <row r="736" spans="5:16" x14ac:dyDescent="0.25">
      <c r="E736" s="51"/>
      <c r="P736" s="51"/>
    </row>
    <row r="737" spans="5:16" x14ac:dyDescent="0.25">
      <c r="E737" s="51"/>
      <c r="P737" s="51"/>
    </row>
    <row r="738" spans="5:16" x14ac:dyDescent="0.25">
      <c r="E738" s="51"/>
      <c r="P738" s="51"/>
    </row>
    <row r="739" spans="5:16" x14ac:dyDescent="0.25">
      <c r="E739" s="51"/>
      <c r="P739" s="51"/>
    </row>
    <row r="740" spans="5:16" x14ac:dyDescent="0.25">
      <c r="E740" s="51"/>
      <c r="P740" s="51"/>
    </row>
    <row r="741" spans="5:16" x14ac:dyDescent="0.25">
      <c r="E741" s="51"/>
      <c r="P741" s="51"/>
    </row>
    <row r="742" spans="5:16" x14ac:dyDescent="0.25">
      <c r="E742" s="51"/>
      <c r="P742" s="51"/>
    </row>
    <row r="743" spans="5:16" x14ac:dyDescent="0.25">
      <c r="E743" s="51"/>
      <c r="P743" s="51"/>
    </row>
    <row r="744" spans="5:16" x14ac:dyDescent="0.25">
      <c r="E744" s="51"/>
      <c r="P744" s="51"/>
    </row>
    <row r="745" spans="5:16" x14ac:dyDescent="0.25">
      <c r="E745" s="51"/>
      <c r="P745" s="51"/>
    </row>
    <row r="746" spans="5:16" x14ac:dyDescent="0.25">
      <c r="E746" s="51"/>
      <c r="P746" s="51"/>
    </row>
    <row r="747" spans="5:16" x14ac:dyDescent="0.25">
      <c r="E747" s="51"/>
      <c r="P747" s="51"/>
    </row>
    <row r="748" spans="5:16" x14ac:dyDescent="0.25">
      <c r="E748" s="51"/>
      <c r="P748" s="51"/>
    </row>
    <row r="749" spans="5:16" x14ac:dyDescent="0.25">
      <c r="E749" s="51"/>
      <c r="P749" s="51"/>
    </row>
    <row r="750" spans="5:16" x14ac:dyDescent="0.25">
      <c r="E750" s="51"/>
      <c r="P750" s="51"/>
    </row>
    <row r="751" spans="5:16" x14ac:dyDescent="0.25">
      <c r="E751" s="51"/>
      <c r="P751" s="51"/>
    </row>
    <row r="752" spans="5:16" x14ac:dyDescent="0.25">
      <c r="E752" s="51"/>
      <c r="P752" s="51"/>
    </row>
    <row r="753" spans="5:16" x14ac:dyDescent="0.25">
      <c r="E753" s="51"/>
      <c r="P753" s="51"/>
    </row>
    <row r="754" spans="5:16" x14ac:dyDescent="0.25">
      <c r="E754" s="51"/>
      <c r="P754" s="51"/>
    </row>
    <row r="755" spans="5:16" x14ac:dyDescent="0.25">
      <c r="E755" s="51"/>
      <c r="P755" s="51"/>
    </row>
    <row r="756" spans="5:16" x14ac:dyDescent="0.25">
      <c r="E756" s="51"/>
      <c r="P756" s="51"/>
    </row>
    <row r="757" spans="5:16" x14ac:dyDescent="0.25">
      <c r="E757" s="51"/>
      <c r="P757" s="51"/>
    </row>
    <row r="758" spans="5:16" x14ac:dyDescent="0.25">
      <c r="E758" s="51"/>
      <c r="P758" s="51"/>
    </row>
    <row r="759" spans="5:16" x14ac:dyDescent="0.25">
      <c r="E759" s="51"/>
      <c r="P759" s="51"/>
    </row>
    <row r="760" spans="5:16" x14ac:dyDescent="0.25">
      <c r="E760" s="51"/>
      <c r="P760" s="51"/>
    </row>
    <row r="761" spans="5:16" x14ac:dyDescent="0.25">
      <c r="E761" s="51"/>
      <c r="P761" s="51"/>
    </row>
    <row r="762" spans="5:16" x14ac:dyDescent="0.25">
      <c r="E762" s="51"/>
      <c r="P762" s="51"/>
    </row>
    <row r="763" spans="5:16" x14ac:dyDescent="0.25">
      <c r="E763" s="51"/>
      <c r="P763" s="51"/>
    </row>
    <row r="764" spans="5:16" x14ac:dyDescent="0.25">
      <c r="E764" s="51"/>
      <c r="P764" s="51"/>
    </row>
    <row r="765" spans="5:16" x14ac:dyDescent="0.25">
      <c r="E765" s="51"/>
      <c r="P765" s="51"/>
    </row>
    <row r="766" spans="5:16" x14ac:dyDescent="0.25">
      <c r="E766" s="51"/>
      <c r="P766" s="51"/>
    </row>
    <row r="767" spans="5:16" x14ac:dyDescent="0.25">
      <c r="E767" s="51"/>
      <c r="P767" s="51"/>
    </row>
    <row r="768" spans="5:16" x14ac:dyDescent="0.25">
      <c r="E768" s="51"/>
      <c r="P768" s="51"/>
    </row>
    <row r="769" spans="5:16" x14ac:dyDescent="0.25">
      <c r="E769" s="51"/>
      <c r="P769" s="51"/>
    </row>
    <row r="770" spans="5:16" x14ac:dyDescent="0.25">
      <c r="E770" s="51"/>
      <c r="P770" s="51"/>
    </row>
    <row r="771" spans="5:16" x14ac:dyDescent="0.25">
      <c r="E771" s="51"/>
      <c r="P771" s="51"/>
    </row>
    <row r="772" spans="5:16" x14ac:dyDescent="0.25">
      <c r="E772" s="51"/>
      <c r="P772" s="51"/>
    </row>
    <row r="773" spans="5:16" x14ac:dyDescent="0.25">
      <c r="E773" s="51"/>
      <c r="P773" s="51"/>
    </row>
    <row r="774" spans="5:16" x14ac:dyDescent="0.25">
      <c r="E774" s="51"/>
      <c r="P774" s="51"/>
    </row>
    <row r="775" spans="5:16" x14ac:dyDescent="0.25">
      <c r="E775" s="51"/>
      <c r="P775" s="51"/>
    </row>
    <row r="776" spans="5:16" x14ac:dyDescent="0.25">
      <c r="E776" s="51"/>
      <c r="P776" s="51"/>
    </row>
    <row r="777" spans="5:16" x14ac:dyDescent="0.25">
      <c r="E777" s="51"/>
      <c r="P777" s="51"/>
    </row>
    <row r="778" spans="5:16" x14ac:dyDescent="0.25">
      <c r="E778" s="51"/>
      <c r="P778" s="51"/>
    </row>
    <row r="779" spans="5:16" x14ac:dyDescent="0.25">
      <c r="E779" s="51"/>
      <c r="P779" s="51"/>
    </row>
    <row r="780" spans="5:16" x14ac:dyDescent="0.25">
      <c r="E780" s="51"/>
      <c r="P780" s="51"/>
    </row>
    <row r="781" spans="5:16" x14ac:dyDescent="0.25">
      <c r="E781" s="51"/>
      <c r="P781" s="51"/>
    </row>
    <row r="782" spans="5:16" x14ac:dyDescent="0.25">
      <c r="E782" s="51"/>
      <c r="P782" s="51"/>
    </row>
    <row r="783" spans="5:16" x14ac:dyDescent="0.25">
      <c r="E783" s="51"/>
      <c r="P783" s="51"/>
    </row>
    <row r="784" spans="5:16" x14ac:dyDescent="0.25">
      <c r="E784" s="51"/>
      <c r="P784" s="51"/>
    </row>
    <row r="785" spans="5:16" x14ac:dyDescent="0.25">
      <c r="E785" s="51"/>
      <c r="P785" s="51"/>
    </row>
    <row r="786" spans="5:16" x14ac:dyDescent="0.25">
      <c r="E786" s="51"/>
      <c r="P786" s="51"/>
    </row>
    <row r="787" spans="5:16" x14ac:dyDescent="0.25">
      <c r="E787" s="51"/>
      <c r="P787" s="51"/>
    </row>
    <row r="788" spans="5:16" x14ac:dyDescent="0.25">
      <c r="E788" s="51"/>
      <c r="P788" s="51"/>
    </row>
    <row r="789" spans="5:16" x14ac:dyDescent="0.25">
      <c r="E789" s="51"/>
      <c r="P789" s="51"/>
    </row>
    <row r="790" spans="5:16" x14ac:dyDescent="0.25">
      <c r="E790" s="51"/>
      <c r="P790" s="51"/>
    </row>
    <row r="791" spans="5:16" x14ac:dyDescent="0.25">
      <c r="E791" s="51"/>
      <c r="P791" s="51"/>
    </row>
    <row r="792" spans="5:16" x14ac:dyDescent="0.25">
      <c r="E792" s="51"/>
      <c r="P792" s="51"/>
    </row>
    <row r="793" spans="5:16" x14ac:dyDescent="0.25">
      <c r="E793" s="51"/>
      <c r="P793" s="51"/>
    </row>
    <row r="794" spans="5:16" x14ac:dyDescent="0.25">
      <c r="E794" s="51"/>
      <c r="P794" s="51"/>
    </row>
    <row r="795" spans="5:16" x14ac:dyDescent="0.25">
      <c r="E795" s="51"/>
      <c r="P795" s="51"/>
    </row>
    <row r="796" spans="5:16" x14ac:dyDescent="0.25">
      <c r="E796" s="51"/>
      <c r="P796" s="51"/>
    </row>
    <row r="797" spans="5:16" x14ac:dyDescent="0.25">
      <c r="E797" s="51"/>
      <c r="P797" s="51"/>
    </row>
    <row r="798" spans="5:16" x14ac:dyDescent="0.25">
      <c r="E798" s="51"/>
      <c r="P798" s="51"/>
    </row>
    <row r="799" spans="5:16" x14ac:dyDescent="0.25">
      <c r="E799" s="51"/>
      <c r="P799" s="51"/>
    </row>
    <row r="800" spans="5:16" x14ac:dyDescent="0.25">
      <c r="E800" s="51"/>
      <c r="P800" s="51"/>
    </row>
    <row r="801" spans="5:16" x14ac:dyDescent="0.25">
      <c r="E801" s="51"/>
      <c r="P801" s="51"/>
    </row>
    <row r="802" spans="5:16" x14ac:dyDescent="0.25">
      <c r="E802" s="51"/>
      <c r="P802" s="51"/>
    </row>
    <row r="803" spans="5:16" x14ac:dyDescent="0.25">
      <c r="E803" s="51"/>
      <c r="P803" s="51"/>
    </row>
    <row r="804" spans="5:16" x14ac:dyDescent="0.25">
      <c r="E804" s="51"/>
      <c r="P804" s="51"/>
    </row>
    <row r="805" spans="5:16" x14ac:dyDescent="0.25">
      <c r="E805" s="51"/>
      <c r="P805" s="51"/>
    </row>
    <row r="806" spans="5:16" x14ac:dyDescent="0.25">
      <c r="E806" s="51"/>
      <c r="P806" s="51"/>
    </row>
    <row r="807" spans="5:16" x14ac:dyDescent="0.25">
      <c r="E807" s="51"/>
      <c r="P807" s="51"/>
    </row>
    <row r="808" spans="5:16" x14ac:dyDescent="0.25">
      <c r="E808" s="51"/>
      <c r="P808" s="51"/>
    </row>
    <row r="809" spans="5:16" x14ac:dyDescent="0.25">
      <c r="E809" s="51"/>
      <c r="P809" s="51"/>
    </row>
    <row r="810" spans="5:16" x14ac:dyDescent="0.25">
      <c r="E810" s="51"/>
      <c r="P810" s="51"/>
    </row>
    <row r="811" spans="5:16" x14ac:dyDescent="0.25">
      <c r="E811" s="51"/>
      <c r="P811" s="51"/>
    </row>
    <row r="812" spans="5:16" x14ac:dyDescent="0.25">
      <c r="E812" s="51"/>
      <c r="P812" s="51"/>
    </row>
    <row r="813" spans="5:16" x14ac:dyDescent="0.25">
      <c r="E813" s="51"/>
      <c r="P813" s="51"/>
    </row>
    <row r="814" spans="5:16" x14ac:dyDescent="0.25">
      <c r="E814" s="51"/>
      <c r="P814" s="51"/>
    </row>
    <row r="815" spans="5:16" x14ac:dyDescent="0.25">
      <c r="E815" s="51"/>
      <c r="P815" s="51"/>
    </row>
    <row r="816" spans="5:16" x14ac:dyDescent="0.25">
      <c r="E816" s="51"/>
      <c r="P816" s="51"/>
    </row>
    <row r="817" spans="5:16" x14ac:dyDescent="0.25">
      <c r="E817" s="51"/>
      <c r="P817" s="51"/>
    </row>
    <row r="818" spans="5:16" x14ac:dyDescent="0.25">
      <c r="E818" s="51"/>
      <c r="P818" s="51"/>
    </row>
    <row r="819" spans="5:16" x14ac:dyDescent="0.25">
      <c r="E819" s="51"/>
      <c r="P819" s="51"/>
    </row>
    <row r="820" spans="5:16" x14ac:dyDescent="0.25">
      <c r="E820" s="51"/>
      <c r="P820" s="51"/>
    </row>
    <row r="821" spans="5:16" x14ac:dyDescent="0.25">
      <c r="E821" s="51"/>
      <c r="P821" s="51"/>
    </row>
    <row r="822" spans="5:16" x14ac:dyDescent="0.25">
      <c r="E822" s="51"/>
      <c r="P822" s="51"/>
    </row>
    <row r="823" spans="5:16" x14ac:dyDescent="0.25">
      <c r="E823" s="51"/>
      <c r="P823" s="51"/>
    </row>
    <row r="824" spans="5:16" x14ac:dyDescent="0.25">
      <c r="E824" s="51"/>
      <c r="P824" s="51"/>
    </row>
    <row r="825" spans="5:16" x14ac:dyDescent="0.25">
      <c r="E825" s="51"/>
      <c r="P825" s="51"/>
    </row>
    <row r="826" spans="5:16" x14ac:dyDescent="0.25">
      <c r="E826" s="51"/>
      <c r="P826" s="51"/>
    </row>
    <row r="827" spans="5:16" x14ac:dyDescent="0.25">
      <c r="E827" s="51"/>
      <c r="P827" s="51"/>
    </row>
    <row r="828" spans="5:16" x14ac:dyDescent="0.25">
      <c r="E828" s="51"/>
      <c r="P828" s="51"/>
    </row>
    <row r="829" spans="5:16" x14ac:dyDescent="0.25">
      <c r="E829" s="51"/>
      <c r="P829" s="51"/>
    </row>
    <row r="830" spans="5:16" x14ac:dyDescent="0.25">
      <c r="E830" s="51"/>
      <c r="P830" s="51"/>
    </row>
    <row r="831" spans="5:16" x14ac:dyDescent="0.25">
      <c r="E831" s="51"/>
      <c r="P831" s="51"/>
    </row>
    <row r="832" spans="5:16" x14ac:dyDescent="0.25">
      <c r="E832" s="51"/>
      <c r="P832" s="51"/>
    </row>
    <row r="833" spans="5:16" x14ac:dyDescent="0.25">
      <c r="E833" s="51"/>
      <c r="P833" s="51"/>
    </row>
    <row r="834" spans="5:16" x14ac:dyDescent="0.25">
      <c r="E834" s="51"/>
      <c r="P834" s="51"/>
    </row>
    <row r="835" spans="5:16" x14ac:dyDescent="0.25">
      <c r="E835" s="51"/>
      <c r="P835" s="51"/>
    </row>
    <row r="836" spans="5:16" x14ac:dyDescent="0.25">
      <c r="E836" s="51"/>
      <c r="P836" s="51"/>
    </row>
    <row r="837" spans="5:16" x14ac:dyDescent="0.25">
      <c r="E837" s="51"/>
      <c r="P837" s="51"/>
    </row>
    <row r="838" spans="5:16" x14ac:dyDescent="0.25">
      <c r="E838" s="51"/>
      <c r="P838" s="51"/>
    </row>
    <row r="839" spans="5:16" x14ac:dyDescent="0.25">
      <c r="E839" s="51"/>
      <c r="P839" s="51"/>
    </row>
    <row r="840" spans="5:16" x14ac:dyDescent="0.25">
      <c r="E840" s="51"/>
      <c r="P840" s="51"/>
    </row>
    <row r="841" spans="5:16" x14ac:dyDescent="0.25">
      <c r="E841" s="51"/>
      <c r="P841" s="51"/>
    </row>
    <row r="842" spans="5:16" x14ac:dyDescent="0.25">
      <c r="E842" s="51"/>
      <c r="P842" s="51"/>
    </row>
    <row r="843" spans="5:16" x14ac:dyDescent="0.25">
      <c r="E843" s="51"/>
      <c r="P843" s="51"/>
    </row>
    <row r="844" spans="5:16" x14ac:dyDescent="0.25">
      <c r="E844" s="51"/>
      <c r="P844" s="51"/>
    </row>
    <row r="845" spans="5:16" x14ac:dyDescent="0.25">
      <c r="E845" s="51"/>
      <c r="P845" s="51"/>
    </row>
    <row r="846" spans="5:16" x14ac:dyDescent="0.25">
      <c r="E846" s="51"/>
      <c r="P846" s="51"/>
    </row>
    <row r="847" spans="5:16" x14ac:dyDescent="0.25">
      <c r="E847" s="51"/>
      <c r="P847" s="51"/>
    </row>
    <row r="848" spans="5:16" x14ac:dyDescent="0.25">
      <c r="E848" s="51"/>
      <c r="P848" s="51"/>
    </row>
    <row r="849" spans="5:16" x14ac:dyDescent="0.25">
      <c r="E849" s="51"/>
      <c r="P849" s="51"/>
    </row>
    <row r="850" spans="5:16" x14ac:dyDescent="0.25">
      <c r="E850" s="51"/>
      <c r="P850" s="51"/>
    </row>
    <row r="851" spans="5:16" x14ac:dyDescent="0.25">
      <c r="E851" s="51"/>
      <c r="P851" s="51"/>
    </row>
    <row r="852" spans="5:16" x14ac:dyDescent="0.25">
      <c r="E852" s="51"/>
      <c r="P852" s="51"/>
    </row>
    <row r="853" spans="5:16" x14ac:dyDescent="0.25">
      <c r="E853" s="51"/>
      <c r="P853" s="51"/>
    </row>
    <row r="854" spans="5:16" x14ac:dyDescent="0.25">
      <c r="E854" s="51"/>
      <c r="P854" s="51"/>
    </row>
    <row r="855" spans="5:16" x14ac:dyDescent="0.25">
      <c r="E855" s="51"/>
      <c r="P855" s="51"/>
    </row>
    <row r="856" spans="5:16" x14ac:dyDescent="0.25">
      <c r="E856" s="51"/>
      <c r="P856" s="51"/>
    </row>
    <row r="857" spans="5:16" x14ac:dyDescent="0.25">
      <c r="E857" s="51"/>
      <c r="P857" s="51"/>
    </row>
    <row r="858" spans="5:16" x14ac:dyDescent="0.25">
      <c r="E858" s="51"/>
      <c r="P858" s="51"/>
    </row>
    <row r="859" spans="5:16" x14ac:dyDescent="0.25">
      <c r="E859" s="51"/>
      <c r="P859" s="51"/>
    </row>
    <row r="860" spans="5:16" x14ac:dyDescent="0.25">
      <c r="E860" s="51"/>
      <c r="P860" s="51"/>
    </row>
    <row r="861" spans="5:16" x14ac:dyDescent="0.25">
      <c r="E861" s="51"/>
      <c r="P861" s="51"/>
    </row>
    <row r="862" spans="5:16" x14ac:dyDescent="0.25">
      <c r="E862" s="51"/>
      <c r="P862" s="51"/>
    </row>
    <row r="863" spans="5:16" x14ac:dyDescent="0.25">
      <c r="E863" s="51"/>
      <c r="P863" s="51"/>
    </row>
    <row r="864" spans="5:16" x14ac:dyDescent="0.25">
      <c r="E864" s="51"/>
      <c r="P864" s="51"/>
    </row>
    <row r="865" spans="5:16" x14ac:dyDescent="0.25">
      <c r="E865" s="51"/>
      <c r="P865" s="51"/>
    </row>
    <row r="866" spans="5:16" x14ac:dyDescent="0.25">
      <c r="E866" s="51"/>
      <c r="P866" s="51"/>
    </row>
    <row r="867" spans="5:16" x14ac:dyDescent="0.25">
      <c r="E867" s="51"/>
      <c r="P867" s="51"/>
    </row>
    <row r="868" spans="5:16" x14ac:dyDescent="0.25">
      <c r="E868" s="51"/>
      <c r="P868" s="51"/>
    </row>
    <row r="869" spans="5:16" x14ac:dyDescent="0.25">
      <c r="E869" s="51"/>
      <c r="P869" s="51"/>
    </row>
    <row r="870" spans="5:16" x14ac:dyDescent="0.25">
      <c r="E870" s="51"/>
      <c r="P870" s="51"/>
    </row>
    <row r="871" spans="5:16" x14ac:dyDescent="0.25">
      <c r="E871" s="51"/>
      <c r="P871" s="51"/>
    </row>
    <row r="872" spans="5:16" x14ac:dyDescent="0.25">
      <c r="E872" s="51"/>
      <c r="P872" s="51"/>
    </row>
    <row r="873" spans="5:16" x14ac:dyDescent="0.25">
      <c r="E873" s="51"/>
      <c r="P873" s="51"/>
    </row>
    <row r="874" spans="5:16" x14ac:dyDescent="0.25">
      <c r="E874" s="51"/>
      <c r="P874" s="51"/>
    </row>
    <row r="875" spans="5:16" x14ac:dyDescent="0.25">
      <c r="E875" s="51"/>
      <c r="P875" s="51"/>
    </row>
    <row r="876" spans="5:16" x14ac:dyDescent="0.25">
      <c r="E876" s="51"/>
      <c r="P876" s="51"/>
    </row>
    <row r="877" spans="5:16" x14ac:dyDescent="0.25">
      <c r="E877" s="51"/>
      <c r="P877" s="51"/>
    </row>
    <row r="878" spans="5:16" x14ac:dyDescent="0.25">
      <c r="E878" s="51"/>
      <c r="P878" s="51"/>
    </row>
    <row r="879" spans="5:16" x14ac:dyDescent="0.25">
      <c r="E879" s="51"/>
      <c r="P879" s="51"/>
    </row>
    <row r="880" spans="5:16" x14ac:dyDescent="0.25">
      <c r="E880" s="51"/>
      <c r="P880" s="51"/>
    </row>
    <row r="881" spans="5:16" x14ac:dyDescent="0.25">
      <c r="E881" s="51"/>
      <c r="P881" s="51"/>
    </row>
    <row r="882" spans="5:16" x14ac:dyDescent="0.25">
      <c r="E882" s="51"/>
      <c r="P882" s="51"/>
    </row>
    <row r="883" spans="5:16" x14ac:dyDescent="0.25">
      <c r="E883" s="51"/>
      <c r="P883" s="51"/>
    </row>
    <row r="884" spans="5:16" x14ac:dyDescent="0.25">
      <c r="E884" s="51"/>
      <c r="P884" s="51"/>
    </row>
    <row r="885" spans="5:16" x14ac:dyDescent="0.25">
      <c r="E885" s="51"/>
      <c r="P885" s="51"/>
    </row>
    <row r="886" spans="5:16" x14ac:dyDescent="0.25">
      <c r="E886" s="51"/>
      <c r="P886" s="51"/>
    </row>
    <row r="887" spans="5:16" x14ac:dyDescent="0.25">
      <c r="E887" s="51"/>
      <c r="P887" s="51"/>
    </row>
    <row r="888" spans="5:16" x14ac:dyDescent="0.25">
      <c r="E888" s="51"/>
      <c r="P888" s="51"/>
    </row>
    <row r="889" spans="5:16" x14ac:dyDescent="0.25">
      <c r="E889" s="51"/>
      <c r="P889" s="51"/>
    </row>
    <row r="890" spans="5:16" x14ac:dyDescent="0.25">
      <c r="E890" s="51"/>
      <c r="P890" s="51"/>
    </row>
    <row r="891" spans="5:16" x14ac:dyDescent="0.25">
      <c r="E891" s="51"/>
      <c r="P891" s="51"/>
    </row>
    <row r="892" spans="5:16" x14ac:dyDescent="0.25">
      <c r="E892" s="51"/>
      <c r="P892" s="51"/>
    </row>
    <row r="893" spans="5:16" x14ac:dyDescent="0.25">
      <c r="E893" s="51"/>
      <c r="P893" s="51"/>
    </row>
    <row r="894" spans="5:16" x14ac:dyDescent="0.25">
      <c r="E894" s="51"/>
      <c r="P894" s="51"/>
    </row>
    <row r="895" spans="5:16" x14ac:dyDescent="0.25">
      <c r="E895" s="51"/>
      <c r="P895" s="51"/>
    </row>
    <row r="896" spans="5:16" x14ac:dyDescent="0.25">
      <c r="E896" s="51"/>
      <c r="P896" s="51"/>
    </row>
    <row r="897" spans="5:16" x14ac:dyDescent="0.25">
      <c r="E897" s="51"/>
      <c r="P897" s="51"/>
    </row>
    <row r="898" spans="5:16" x14ac:dyDescent="0.25">
      <c r="E898" s="51"/>
      <c r="P898" s="51"/>
    </row>
    <row r="899" spans="5:16" x14ac:dyDescent="0.25">
      <c r="E899" s="51"/>
      <c r="P899" s="51"/>
    </row>
    <row r="900" spans="5:16" x14ac:dyDescent="0.25">
      <c r="E900" s="51"/>
      <c r="P900" s="51"/>
    </row>
    <row r="901" spans="5:16" x14ac:dyDescent="0.25">
      <c r="E901" s="51"/>
      <c r="P901" s="51"/>
    </row>
    <row r="902" spans="5:16" x14ac:dyDescent="0.25">
      <c r="E902" s="51"/>
      <c r="P902" s="51"/>
    </row>
    <row r="903" spans="5:16" x14ac:dyDescent="0.25">
      <c r="E903" s="51"/>
      <c r="P903" s="51"/>
    </row>
    <row r="904" spans="5:16" x14ac:dyDescent="0.25">
      <c r="E904" s="51"/>
      <c r="P904" s="51"/>
    </row>
    <row r="905" spans="5:16" x14ac:dyDescent="0.25">
      <c r="E905" s="51"/>
      <c r="P905" s="51"/>
    </row>
    <row r="906" spans="5:16" x14ac:dyDescent="0.25">
      <c r="E906" s="51"/>
      <c r="P906" s="51"/>
    </row>
    <row r="907" spans="5:16" x14ac:dyDescent="0.25">
      <c r="E907" s="51"/>
      <c r="P907" s="51"/>
    </row>
    <row r="908" spans="5:16" x14ac:dyDescent="0.25">
      <c r="E908" s="51"/>
      <c r="P908" s="51"/>
    </row>
    <row r="909" spans="5:16" x14ac:dyDescent="0.25">
      <c r="E909" s="51"/>
      <c r="P909" s="51"/>
    </row>
    <row r="910" spans="5:16" x14ac:dyDescent="0.25">
      <c r="E910" s="51"/>
      <c r="P910" s="51"/>
    </row>
    <row r="911" spans="5:16" x14ac:dyDescent="0.25">
      <c r="E911" s="51"/>
      <c r="P911" s="51"/>
    </row>
    <row r="912" spans="5:16" x14ac:dyDescent="0.25">
      <c r="E912" s="51"/>
      <c r="P912" s="51"/>
    </row>
    <row r="913" spans="5:16" x14ac:dyDescent="0.25">
      <c r="E913" s="51"/>
      <c r="P913" s="51"/>
    </row>
    <row r="914" spans="5:16" x14ac:dyDescent="0.25">
      <c r="E914" s="51"/>
      <c r="P914" s="51"/>
    </row>
    <row r="915" spans="5:16" x14ac:dyDescent="0.25">
      <c r="E915" s="51"/>
      <c r="P915" s="51"/>
    </row>
    <row r="916" spans="5:16" x14ac:dyDescent="0.25">
      <c r="E916" s="51"/>
      <c r="P916" s="51"/>
    </row>
    <row r="917" spans="5:16" x14ac:dyDescent="0.25">
      <c r="E917" s="51"/>
      <c r="P917" s="51"/>
    </row>
    <row r="918" spans="5:16" x14ac:dyDescent="0.25">
      <c r="E918" s="51"/>
      <c r="P918" s="51"/>
    </row>
    <row r="919" spans="5:16" x14ac:dyDescent="0.25">
      <c r="E919" s="51"/>
      <c r="P919" s="51"/>
    </row>
    <row r="920" spans="5:16" x14ac:dyDescent="0.25">
      <c r="E920" s="51"/>
      <c r="P920" s="51"/>
    </row>
    <row r="921" spans="5:16" x14ac:dyDescent="0.25">
      <c r="E921" s="51"/>
      <c r="P921" s="51"/>
    </row>
    <row r="922" spans="5:16" x14ac:dyDescent="0.25">
      <c r="E922" s="51"/>
      <c r="P922" s="51"/>
    </row>
    <row r="923" spans="5:16" x14ac:dyDescent="0.25">
      <c r="E923" s="51"/>
      <c r="P923" s="51"/>
    </row>
    <row r="924" spans="5:16" x14ac:dyDescent="0.25">
      <c r="E924" s="51"/>
      <c r="P924" s="51"/>
    </row>
    <row r="925" spans="5:16" x14ac:dyDescent="0.25">
      <c r="E925" s="51"/>
      <c r="P925" s="51"/>
    </row>
    <row r="926" spans="5:16" x14ac:dyDescent="0.25">
      <c r="E926" s="51"/>
      <c r="P926" s="51"/>
    </row>
    <row r="927" spans="5:16" x14ac:dyDescent="0.25">
      <c r="E927" s="51"/>
      <c r="P927" s="51"/>
    </row>
    <row r="928" spans="5:16" x14ac:dyDescent="0.25">
      <c r="E928" s="51"/>
      <c r="P928" s="51"/>
    </row>
    <row r="929" spans="5:16" x14ac:dyDescent="0.25">
      <c r="E929" s="51"/>
      <c r="P929" s="51"/>
    </row>
    <row r="930" spans="5:16" x14ac:dyDescent="0.25">
      <c r="E930" s="51"/>
      <c r="P930" s="51"/>
    </row>
    <row r="931" spans="5:16" x14ac:dyDescent="0.25">
      <c r="E931" s="51"/>
      <c r="P931" s="51"/>
    </row>
    <row r="932" spans="5:16" x14ac:dyDescent="0.25">
      <c r="E932" s="51"/>
      <c r="P932" s="51"/>
    </row>
    <row r="933" spans="5:16" x14ac:dyDescent="0.25">
      <c r="E933" s="51"/>
      <c r="P933" s="51"/>
    </row>
    <row r="934" spans="5:16" x14ac:dyDescent="0.25">
      <c r="E934" s="51"/>
      <c r="P934" s="51"/>
    </row>
    <row r="935" spans="5:16" x14ac:dyDescent="0.25">
      <c r="E935" s="51"/>
      <c r="P935" s="51"/>
    </row>
    <row r="936" spans="5:16" x14ac:dyDescent="0.25">
      <c r="E936" s="51"/>
      <c r="P936" s="51"/>
    </row>
    <row r="937" spans="5:16" x14ac:dyDescent="0.25">
      <c r="E937" s="51"/>
      <c r="P937" s="51"/>
    </row>
    <row r="938" spans="5:16" x14ac:dyDescent="0.25">
      <c r="E938" s="51"/>
      <c r="P938" s="51"/>
    </row>
    <row r="939" spans="5:16" x14ac:dyDescent="0.25">
      <c r="E939" s="51"/>
      <c r="P939" s="51"/>
    </row>
    <row r="940" spans="5:16" x14ac:dyDescent="0.25">
      <c r="E940" s="51"/>
      <c r="P940" s="51"/>
    </row>
    <row r="941" spans="5:16" x14ac:dyDescent="0.25">
      <c r="E941" s="51"/>
      <c r="P941" s="51"/>
    </row>
    <row r="942" spans="5:16" x14ac:dyDescent="0.25">
      <c r="E942" s="51"/>
      <c r="P942" s="51"/>
    </row>
    <row r="943" spans="5:16" x14ac:dyDescent="0.25">
      <c r="E943" s="51"/>
      <c r="P943" s="51"/>
    </row>
    <row r="944" spans="5:16" x14ac:dyDescent="0.25">
      <c r="E944" s="51"/>
      <c r="P944" s="51"/>
    </row>
    <row r="945" spans="5:16" x14ac:dyDescent="0.25">
      <c r="E945" s="51"/>
      <c r="P945" s="51"/>
    </row>
    <row r="946" spans="5:16" x14ac:dyDescent="0.25">
      <c r="E946" s="51"/>
      <c r="P946" s="51"/>
    </row>
    <row r="947" spans="5:16" x14ac:dyDescent="0.25">
      <c r="E947" s="51"/>
      <c r="P947" s="51"/>
    </row>
    <row r="948" spans="5:16" x14ac:dyDescent="0.25">
      <c r="E948" s="51"/>
      <c r="P948" s="51"/>
    </row>
    <row r="949" spans="5:16" x14ac:dyDescent="0.25">
      <c r="E949" s="51"/>
      <c r="P949" s="51"/>
    </row>
    <row r="950" spans="5:16" x14ac:dyDescent="0.25">
      <c r="E950" s="51"/>
      <c r="P950" s="51"/>
    </row>
    <row r="951" spans="5:16" x14ac:dyDescent="0.25">
      <c r="E951" s="51"/>
      <c r="P951" s="51"/>
    </row>
    <row r="952" spans="5:16" x14ac:dyDescent="0.25">
      <c r="E952" s="51"/>
      <c r="P952" s="51"/>
    </row>
    <row r="953" spans="5:16" x14ac:dyDescent="0.25">
      <c r="E953" s="51"/>
      <c r="P953" s="51"/>
    </row>
    <row r="954" spans="5:16" x14ac:dyDescent="0.25">
      <c r="E954" s="51"/>
      <c r="P954" s="51"/>
    </row>
    <row r="955" spans="5:16" x14ac:dyDescent="0.25">
      <c r="E955" s="51"/>
      <c r="P955" s="51"/>
    </row>
    <row r="956" spans="5:16" x14ac:dyDescent="0.25">
      <c r="E956" s="51"/>
      <c r="P956" s="51"/>
    </row>
    <row r="957" spans="5:16" x14ac:dyDescent="0.25">
      <c r="E957" s="51"/>
      <c r="P957" s="51"/>
    </row>
    <row r="958" spans="5:16" x14ac:dyDescent="0.25">
      <c r="E958" s="51"/>
      <c r="P958" s="51"/>
    </row>
    <row r="959" spans="5:16" x14ac:dyDescent="0.25">
      <c r="E959" s="51"/>
      <c r="P959" s="51"/>
    </row>
    <row r="960" spans="5:16" x14ac:dyDescent="0.25">
      <c r="E960" s="51"/>
      <c r="P960" s="51"/>
    </row>
    <row r="961" spans="5:16" x14ac:dyDescent="0.25">
      <c r="E961" s="51"/>
      <c r="P961" s="51"/>
    </row>
    <row r="962" spans="5:16" x14ac:dyDescent="0.25">
      <c r="E962" s="51"/>
      <c r="P962" s="51"/>
    </row>
    <row r="963" spans="5:16" x14ac:dyDescent="0.25">
      <c r="E963" s="51"/>
      <c r="P963" s="51"/>
    </row>
    <row r="964" spans="5:16" x14ac:dyDescent="0.25">
      <c r="E964" s="51"/>
      <c r="P964" s="51"/>
    </row>
    <row r="965" spans="5:16" x14ac:dyDescent="0.25">
      <c r="E965" s="51"/>
      <c r="P965" s="51"/>
    </row>
    <row r="966" spans="5:16" x14ac:dyDescent="0.25">
      <c r="E966" s="51"/>
      <c r="P966" s="51"/>
    </row>
    <row r="967" spans="5:16" x14ac:dyDescent="0.25">
      <c r="E967" s="51"/>
      <c r="P967" s="51"/>
    </row>
    <row r="968" spans="5:16" x14ac:dyDescent="0.25">
      <c r="E968" s="51"/>
      <c r="P968" s="51"/>
    </row>
    <row r="969" spans="5:16" x14ac:dyDescent="0.25">
      <c r="E969" s="51"/>
      <c r="P969" s="51"/>
    </row>
    <row r="970" spans="5:16" x14ac:dyDescent="0.25">
      <c r="E970" s="51"/>
      <c r="P970" s="51"/>
    </row>
    <row r="971" spans="5:16" x14ac:dyDescent="0.25">
      <c r="E971" s="51"/>
      <c r="P971" s="51"/>
    </row>
    <row r="972" spans="5:16" x14ac:dyDescent="0.25">
      <c r="E972" s="51"/>
      <c r="P972" s="51"/>
    </row>
    <row r="973" spans="5:16" x14ac:dyDescent="0.25">
      <c r="E973" s="51"/>
      <c r="P973" s="51"/>
    </row>
    <row r="974" spans="5:16" x14ac:dyDescent="0.25">
      <c r="E974" s="51"/>
      <c r="P974" s="51"/>
    </row>
    <row r="975" spans="5:16" x14ac:dyDescent="0.25">
      <c r="E975" s="51"/>
      <c r="P975" s="51"/>
    </row>
    <row r="976" spans="5:16" x14ac:dyDescent="0.25">
      <c r="E976" s="51"/>
      <c r="P976" s="51"/>
    </row>
    <row r="977" spans="5:16" x14ac:dyDescent="0.25">
      <c r="E977" s="51"/>
      <c r="P977" s="51"/>
    </row>
    <row r="978" spans="5:16" x14ac:dyDescent="0.25">
      <c r="E978" s="51"/>
      <c r="P978" s="51"/>
    </row>
    <row r="979" spans="5:16" x14ac:dyDescent="0.25">
      <c r="E979" s="51"/>
      <c r="P979" s="51"/>
    </row>
    <row r="980" spans="5:16" x14ac:dyDescent="0.25">
      <c r="E980" s="51"/>
      <c r="P980" s="51"/>
    </row>
    <row r="981" spans="5:16" x14ac:dyDescent="0.25">
      <c r="E981" s="51"/>
      <c r="P981" s="51"/>
    </row>
    <row r="982" spans="5:16" x14ac:dyDescent="0.25">
      <c r="E982" s="51"/>
      <c r="P982" s="51"/>
    </row>
    <row r="983" spans="5:16" x14ac:dyDescent="0.25">
      <c r="E983" s="51"/>
      <c r="P983" s="51"/>
    </row>
    <row r="984" spans="5:16" x14ac:dyDescent="0.25">
      <c r="E984" s="51"/>
      <c r="P984" s="51"/>
    </row>
    <row r="985" spans="5:16" x14ac:dyDescent="0.25">
      <c r="E985" s="51"/>
      <c r="P985" s="51"/>
    </row>
    <row r="986" spans="5:16" x14ac:dyDescent="0.25">
      <c r="E986" s="51"/>
      <c r="P986" s="51"/>
    </row>
    <row r="987" spans="5:16" x14ac:dyDescent="0.25">
      <c r="E987" s="51"/>
      <c r="P987" s="51"/>
    </row>
    <row r="988" spans="5:16" x14ac:dyDescent="0.25">
      <c r="E988" s="51"/>
      <c r="P988" s="51"/>
    </row>
    <row r="989" spans="5:16" x14ac:dyDescent="0.25">
      <c r="E989" s="51"/>
      <c r="P989" s="51"/>
    </row>
    <row r="990" spans="5:16" x14ac:dyDescent="0.25">
      <c r="E990" s="51"/>
      <c r="P990" s="51"/>
    </row>
    <row r="991" spans="5:16" x14ac:dyDescent="0.25">
      <c r="E991" s="51"/>
      <c r="P991" s="51"/>
    </row>
    <row r="992" spans="5:16" x14ac:dyDescent="0.25">
      <c r="E992" s="51"/>
      <c r="P992" s="51"/>
    </row>
    <row r="993" spans="5:16" x14ac:dyDescent="0.25">
      <c r="E993" s="51"/>
      <c r="P993" s="51"/>
    </row>
    <row r="994" spans="5:16" x14ac:dyDescent="0.25">
      <c r="E994" s="51"/>
      <c r="P994" s="51"/>
    </row>
    <row r="995" spans="5:16" x14ac:dyDescent="0.25">
      <c r="E995" s="51"/>
      <c r="P995" s="51"/>
    </row>
    <row r="996" spans="5:16" x14ac:dyDescent="0.25">
      <c r="E996" s="51"/>
      <c r="P996" s="51"/>
    </row>
    <row r="997" spans="5:16" x14ac:dyDescent="0.25">
      <c r="E997" s="51"/>
      <c r="P997" s="51"/>
    </row>
    <row r="998" spans="5:16" x14ac:dyDescent="0.25">
      <c r="E998" s="51"/>
      <c r="P998" s="51"/>
    </row>
    <row r="999" spans="5:16" x14ac:dyDescent="0.25">
      <c r="E999" s="51"/>
      <c r="P999" s="51"/>
    </row>
    <row r="1000" spans="5:16" x14ac:dyDescent="0.25">
      <c r="E1000" s="51"/>
      <c r="P1000" s="51"/>
    </row>
  </sheetData>
  <conditionalFormatting sqref="E2:E498">
    <cfRule type="containsText" dxfId="15" priority="17" operator="containsText" text="Sim"/>
    <cfRule type="containsText" dxfId="14" priority="18" operator="containsText" text="Não"/>
    <cfRule type="containsText" dxfId="13" priority="19" operator="containsText" text="Não definido"/>
  </conditionalFormatting>
  <conditionalFormatting sqref="E2:E1000">
    <cfRule type="cellIs" dxfId="12" priority="12" operator="equal">
      <formula>"Sim"</formula>
    </cfRule>
    <cfRule type="cellIs" dxfId="11" priority="13" operator="equal">
      <formula>"Não"</formula>
    </cfRule>
  </conditionalFormatting>
  <conditionalFormatting sqref="L2:L500">
    <cfRule type="expression" dxfId="10" priority="1">
      <formula>$L2="Concluído"</formula>
    </cfRule>
    <cfRule type="expression" dxfId="9" priority="2">
      <formula>$L2="Parcial"</formula>
    </cfRule>
    <cfRule type="expression" dxfId="8" priority="3">
      <formula>$L2="Atrasado"</formula>
    </cfRule>
  </conditionalFormatting>
  <conditionalFormatting sqref="P2:P87 P94:P1000">
    <cfRule type="cellIs" dxfId="7" priority="14" operator="equal">
      <formula>"Sim"</formula>
    </cfRule>
    <cfRule type="cellIs" dxfId="6" priority="15" operator="equal">
      <formula>"Não"</formula>
    </cfRule>
    <cfRule type="expression" dxfId="5" priority="16">
      <formula>AND($E2="Sim",$P2="")</formula>
    </cfRule>
  </conditionalFormatting>
  <conditionalFormatting sqref="P2:P87">
    <cfRule type="containsText" dxfId="4" priority="20" operator="containsText" text="Sim"/>
    <cfRule type="containsText" dxfId="3" priority="21" operator="containsText" text="Não"/>
  </conditionalFormatting>
  <conditionalFormatting sqref="P88:P93">
    <cfRule type="cellIs" dxfId="2" priority="6" operator="equal">
      <formula>"Sim"</formula>
    </cfRule>
    <cfRule type="cellIs" dxfId="1" priority="7" operator="equal">
      <formula>"Não"</formula>
    </cfRule>
    <cfRule type="expression" dxfId="0" priority="8">
      <formula>AND($E88="Sim",$P88="")</formula>
    </cfRule>
  </conditionalFormatting>
  <dataValidations disablePrompts="1" count="2">
    <dataValidation type="list" sqref="N3:N500" xr:uid="{00000000-0002-0000-0000-000000000000}">
      <formula1>"Preventiva,Preditiva,Corretiva,Emergencial,Inspeção"</formula1>
    </dataValidation>
    <dataValidation type="list" sqref="P2:P1000 E2:E1000" xr:uid="{00000000-0002-0000-0000-000001000000}">
      <formula1>"Sim,Não"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D38"/>
  <sheetViews>
    <sheetView workbookViewId="0">
      <selection activeCell="K13" sqref="K13"/>
    </sheetView>
  </sheetViews>
  <sheetFormatPr defaultRowHeight="15" x14ac:dyDescent="0.25"/>
  <cols>
    <col min="3" max="3" width="18.85546875" customWidth="1"/>
    <col min="4" max="4" width="13.85546875" style="51" customWidth="1"/>
  </cols>
  <sheetData>
    <row r="1" spans="3:4" ht="30" customHeight="1" thickBot="1" x14ac:dyDescent="0.3">
      <c r="C1" s="58" t="s">
        <v>2</v>
      </c>
      <c r="D1" s="59" t="s">
        <v>4</v>
      </c>
    </row>
    <row r="2" spans="3:4" ht="15.75" thickTop="1" x14ac:dyDescent="0.25">
      <c r="C2" s="56" t="s">
        <v>28</v>
      </c>
      <c r="D2" s="51" t="s">
        <v>172</v>
      </c>
    </row>
    <row r="3" spans="3:4" x14ac:dyDescent="0.25">
      <c r="C3" s="56" t="s">
        <v>25</v>
      </c>
      <c r="D3" s="51" t="s">
        <v>172</v>
      </c>
    </row>
    <row r="4" spans="3:4" x14ac:dyDescent="0.25">
      <c r="C4" s="56" t="s">
        <v>31</v>
      </c>
      <c r="D4" s="51" t="s">
        <v>172</v>
      </c>
    </row>
    <row r="5" spans="3:4" x14ac:dyDescent="0.25">
      <c r="C5" s="56" t="s">
        <v>22</v>
      </c>
      <c r="D5" s="51" t="s">
        <v>172</v>
      </c>
    </row>
    <row r="6" spans="3:4" x14ac:dyDescent="0.25">
      <c r="C6" s="56" t="s">
        <v>173</v>
      </c>
      <c r="D6" s="51" t="s">
        <v>172</v>
      </c>
    </row>
    <row r="7" spans="3:4" x14ac:dyDescent="0.25">
      <c r="C7" s="56" t="s">
        <v>41</v>
      </c>
      <c r="D7" s="51" t="s">
        <v>178</v>
      </c>
    </row>
    <row r="8" spans="3:4" x14ac:dyDescent="0.25">
      <c r="C8" s="56" t="s">
        <v>34</v>
      </c>
      <c r="D8" s="51" t="s">
        <v>172</v>
      </c>
    </row>
    <row r="9" spans="3:4" x14ac:dyDescent="0.25">
      <c r="C9" s="56" t="s">
        <v>38</v>
      </c>
      <c r="D9" s="51" t="s">
        <v>172</v>
      </c>
    </row>
    <row r="10" spans="3:4" x14ac:dyDescent="0.25">
      <c r="C10" s="56" t="s">
        <v>73</v>
      </c>
      <c r="D10" s="51" t="s">
        <v>172</v>
      </c>
    </row>
    <row r="11" spans="3:4" x14ac:dyDescent="0.25">
      <c r="C11" s="56" t="s">
        <v>174</v>
      </c>
      <c r="D11" s="51" t="s">
        <v>172</v>
      </c>
    </row>
    <row r="12" spans="3:4" x14ac:dyDescent="0.25">
      <c r="C12" s="56" t="s">
        <v>175</v>
      </c>
      <c r="D12" s="51" t="s">
        <v>172</v>
      </c>
    </row>
    <row r="13" spans="3:4" x14ac:dyDescent="0.25">
      <c r="C13" s="56" t="s">
        <v>176</v>
      </c>
      <c r="D13" s="51" t="s">
        <v>172</v>
      </c>
    </row>
    <row r="14" spans="3:4" x14ac:dyDescent="0.25">
      <c r="C14" s="56" t="s">
        <v>177</v>
      </c>
      <c r="D14" s="51" t="s">
        <v>178</v>
      </c>
    </row>
    <row r="15" spans="3:4" x14ac:dyDescent="0.25">
      <c r="C15" s="56" t="s">
        <v>52</v>
      </c>
      <c r="D15" s="51" t="s">
        <v>172</v>
      </c>
    </row>
    <row r="16" spans="3:4" x14ac:dyDescent="0.25">
      <c r="C16" s="56" t="s">
        <v>179</v>
      </c>
      <c r="D16" s="51" t="s">
        <v>172</v>
      </c>
    </row>
    <row r="17" spans="3:4" x14ac:dyDescent="0.25">
      <c r="C17" s="56" t="s">
        <v>180</v>
      </c>
      <c r="D17" s="51" t="s">
        <v>172</v>
      </c>
    </row>
    <row r="18" spans="3:4" x14ac:dyDescent="0.25">
      <c r="C18" s="56" t="s">
        <v>181</v>
      </c>
      <c r="D18" s="51" t="s">
        <v>178</v>
      </c>
    </row>
    <row r="19" spans="3:4" x14ac:dyDescent="0.25">
      <c r="C19" s="56" t="s">
        <v>121</v>
      </c>
      <c r="D19" s="51" t="s">
        <v>172</v>
      </c>
    </row>
    <row r="20" spans="3:4" x14ac:dyDescent="0.25">
      <c r="C20" s="56" t="s">
        <v>106</v>
      </c>
      <c r="D20" s="51" t="s">
        <v>172</v>
      </c>
    </row>
    <row r="21" spans="3:4" x14ac:dyDescent="0.25">
      <c r="C21" s="56" t="s">
        <v>182</v>
      </c>
      <c r="D21" s="51" t="s">
        <v>172</v>
      </c>
    </row>
    <row r="22" spans="3:4" x14ac:dyDescent="0.25">
      <c r="C22" s="56" t="s">
        <v>183</v>
      </c>
      <c r="D22" s="51" t="s">
        <v>172</v>
      </c>
    </row>
    <row r="23" spans="3:4" x14ac:dyDescent="0.25">
      <c r="C23" s="56" t="s">
        <v>149</v>
      </c>
      <c r="D23" s="51" t="s">
        <v>172</v>
      </c>
    </row>
    <row r="24" spans="3:4" x14ac:dyDescent="0.25">
      <c r="C24" s="56" t="s">
        <v>88</v>
      </c>
      <c r="D24" s="51" t="s">
        <v>172</v>
      </c>
    </row>
    <row r="25" spans="3:4" x14ac:dyDescent="0.25">
      <c r="C25" s="56" t="s">
        <v>184</v>
      </c>
      <c r="D25" s="51" t="s">
        <v>172</v>
      </c>
    </row>
    <row r="26" spans="3:4" x14ac:dyDescent="0.25">
      <c r="C26" s="56" t="s">
        <v>185</v>
      </c>
      <c r="D26" s="51" t="s">
        <v>178</v>
      </c>
    </row>
    <row r="27" spans="3:4" x14ac:dyDescent="0.25">
      <c r="C27" s="56" t="s">
        <v>186</v>
      </c>
      <c r="D27" s="51" t="s">
        <v>178</v>
      </c>
    </row>
    <row r="28" spans="3:4" x14ac:dyDescent="0.25">
      <c r="C28" s="56" t="s">
        <v>187</v>
      </c>
      <c r="D28" s="51" t="s">
        <v>172</v>
      </c>
    </row>
    <row r="29" spans="3:4" x14ac:dyDescent="0.25">
      <c r="C29" s="56" t="s">
        <v>85</v>
      </c>
      <c r="D29" s="51" t="s">
        <v>172</v>
      </c>
    </row>
    <row r="30" spans="3:4" x14ac:dyDescent="0.25">
      <c r="C30" s="56" t="s">
        <v>16</v>
      </c>
      <c r="D30" s="51" t="s">
        <v>178</v>
      </c>
    </row>
    <row r="31" spans="3:4" x14ac:dyDescent="0.25">
      <c r="C31" s="57" t="s">
        <v>82</v>
      </c>
      <c r="D31" s="51" t="s">
        <v>178</v>
      </c>
    </row>
    <row r="32" spans="3:4" x14ac:dyDescent="0.25">
      <c r="C32" s="56" t="s">
        <v>19</v>
      </c>
      <c r="D32" s="51" t="s">
        <v>172</v>
      </c>
    </row>
    <row r="33" spans="3:4" x14ac:dyDescent="0.25">
      <c r="C33" s="57" t="s">
        <v>71</v>
      </c>
      <c r="D33" s="60" t="s">
        <v>178</v>
      </c>
    </row>
    <row r="34" spans="3:4" x14ac:dyDescent="0.25">
      <c r="C34" s="56" t="s">
        <v>160</v>
      </c>
      <c r="D34" s="51" t="s">
        <v>172</v>
      </c>
    </row>
    <row r="35" spans="3:4" x14ac:dyDescent="0.25">
      <c r="C35" s="56" t="s">
        <v>132</v>
      </c>
      <c r="D35" s="51" t="s">
        <v>172</v>
      </c>
    </row>
    <row r="36" spans="3:4" x14ac:dyDescent="0.25">
      <c r="C36" s="56" t="s">
        <v>163</v>
      </c>
      <c r="D36" s="51" t="s">
        <v>172</v>
      </c>
    </row>
    <row r="37" spans="3:4" x14ac:dyDescent="0.25">
      <c r="C37" s="56" t="s">
        <v>136</v>
      </c>
      <c r="D37" s="51" t="s">
        <v>172</v>
      </c>
    </row>
    <row r="38" spans="3:4" x14ac:dyDescent="0.25">
      <c r="C38" s="56" t="s">
        <v>98</v>
      </c>
      <c r="D38" s="51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"/>
  <sheetViews>
    <sheetView showGridLines="0" topLeftCell="A2" workbookViewId="0">
      <selection activeCell="A6" sqref="A6"/>
    </sheetView>
  </sheetViews>
  <sheetFormatPr defaultRowHeight="15" x14ac:dyDescent="0.25"/>
  <cols>
    <col min="1" max="1" width="20" customWidth="1"/>
    <col min="2" max="2" width="14" customWidth="1"/>
    <col min="3" max="3" width="3" customWidth="1"/>
    <col min="4" max="4" width="19" customWidth="1"/>
    <col min="5" max="5" width="14" customWidth="1"/>
    <col min="6" max="6" width="20" customWidth="1"/>
    <col min="7" max="7" width="15" customWidth="1"/>
    <col min="8" max="14" width="12" customWidth="1"/>
  </cols>
  <sheetData>
    <row r="1" spans="1:14" ht="27.95" customHeight="1" x14ac:dyDescent="0.35">
      <c r="A1" s="16" t="s">
        <v>188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18" customHeight="1" x14ac:dyDescent="0.25">
      <c r="A2" s="17" t="s">
        <v>189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ht="21.95" customHeight="1" x14ac:dyDescent="0.25">
      <c r="A4" s="20" t="s">
        <v>190</v>
      </c>
      <c r="B4" s="19"/>
      <c r="C4" s="15"/>
      <c r="D4" s="20" t="s">
        <v>191</v>
      </c>
      <c r="E4" s="19"/>
      <c r="F4" s="15"/>
      <c r="G4" s="20" t="s">
        <v>192</v>
      </c>
      <c r="H4" s="19"/>
      <c r="I4" s="15"/>
      <c r="J4" s="20" t="s">
        <v>193</v>
      </c>
      <c r="K4" s="19"/>
      <c r="L4" s="15"/>
      <c r="M4" s="15"/>
      <c r="N4" s="15"/>
    </row>
    <row r="5" spans="1:14" ht="21.95" customHeight="1" x14ac:dyDescent="0.35">
      <c r="A5" s="21">
        <f>SUM(Controle!$H$2:$H$500000)</f>
        <v>840</v>
      </c>
      <c r="B5" s="19"/>
      <c r="C5" s="15"/>
      <c r="D5" s="23">
        <f>SUM(Controle!$I$2:$I$500000)</f>
        <v>768</v>
      </c>
      <c r="E5" s="19"/>
      <c r="F5" s="15"/>
      <c r="G5" s="25">
        <f>IFERROR(D5/A5,0)</f>
        <v>0.91428571428571426</v>
      </c>
      <c r="H5" s="19"/>
      <c r="I5" s="15"/>
      <c r="J5" s="27">
        <f>A5-D5</f>
        <v>72</v>
      </c>
      <c r="K5" s="19"/>
      <c r="L5" s="15"/>
      <c r="M5" s="15"/>
      <c r="N5" s="15"/>
    </row>
    <row r="6" spans="1:14" ht="21.95" customHeight="1" x14ac:dyDescent="0.25">
      <c r="A6" s="22"/>
      <c r="B6" s="22"/>
      <c r="C6" s="15"/>
      <c r="D6" s="24"/>
      <c r="E6" s="24"/>
      <c r="F6" s="15"/>
      <c r="G6" s="26"/>
      <c r="H6" s="26"/>
      <c r="I6" s="15"/>
      <c r="J6" s="28"/>
      <c r="K6" s="28"/>
      <c r="L6" s="15"/>
      <c r="M6" s="15"/>
      <c r="N6" s="15"/>
    </row>
    <row r="7" spans="1:14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x14ac:dyDescent="0.25">
      <c r="A9" s="29" t="s">
        <v>194</v>
      </c>
      <c r="B9" s="30" t="s">
        <v>195</v>
      </c>
      <c r="C9" s="15"/>
      <c r="D9" s="29" t="s">
        <v>11</v>
      </c>
      <c r="E9" s="30" t="s">
        <v>196</v>
      </c>
      <c r="F9" s="15"/>
      <c r="G9" s="15"/>
      <c r="H9" s="15"/>
      <c r="I9" s="15"/>
      <c r="J9" s="15"/>
      <c r="K9" s="15"/>
      <c r="L9" s="15"/>
      <c r="M9" s="15"/>
      <c r="N9" s="15"/>
    </row>
    <row r="10" spans="1:14" x14ac:dyDescent="0.25">
      <c r="A10" s="31" t="s">
        <v>197</v>
      </c>
      <c r="B10" s="32">
        <f>A5</f>
        <v>840</v>
      </c>
      <c r="C10" s="15"/>
      <c r="D10" s="31" t="s">
        <v>198</v>
      </c>
      <c r="E10" s="35">
        <f>COUNTIF(Controle!$L$2:$L$87,"Concluído")</f>
        <v>78</v>
      </c>
      <c r="F10" s="15"/>
      <c r="G10" s="15"/>
      <c r="H10" s="15"/>
      <c r="I10" s="15"/>
      <c r="J10" s="15"/>
      <c r="K10" s="15"/>
      <c r="L10" s="15"/>
      <c r="M10" s="15"/>
      <c r="N10" s="15"/>
    </row>
    <row r="11" spans="1:14" x14ac:dyDescent="0.25">
      <c r="A11" s="31" t="s">
        <v>199</v>
      </c>
      <c r="B11" s="32">
        <f>D5</f>
        <v>768</v>
      </c>
      <c r="C11" s="15"/>
      <c r="D11" s="31" t="s">
        <v>200</v>
      </c>
      <c r="E11" s="35">
        <f>COUNTIF(Controle!$L$2:$L$87,"Não executado")</f>
        <v>8</v>
      </c>
      <c r="F11" s="15"/>
      <c r="G11" s="15"/>
      <c r="H11" s="15"/>
      <c r="I11" s="15"/>
      <c r="J11" s="15"/>
      <c r="K11" s="15"/>
      <c r="L11" s="15"/>
      <c r="M11" s="15"/>
      <c r="N11" s="15"/>
    </row>
    <row r="12" spans="1:14" x14ac:dyDescent="0.25">
      <c r="A12" s="33" t="s">
        <v>201</v>
      </c>
      <c r="B12" s="34">
        <f>J5</f>
        <v>72</v>
      </c>
      <c r="C12" s="15"/>
      <c r="D12" s="37" t="s">
        <v>202</v>
      </c>
      <c r="E12" s="38">
        <f>COUNTBLANK(Controle!$L$2:$L$87)</f>
        <v>0</v>
      </c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15"/>
      <c r="B13" s="15"/>
      <c r="C13" s="15"/>
      <c r="D13" s="33" t="s">
        <v>203</v>
      </c>
      <c r="E13" s="36">
        <f>COUNTA(Controle!$A$2:$A$87)</f>
        <v>86</v>
      </c>
      <c r="F13" s="15"/>
      <c r="G13" s="15"/>
      <c r="H13" s="15"/>
      <c r="I13" s="15"/>
      <c r="J13" s="15"/>
      <c r="K13" s="15"/>
      <c r="L13" s="15"/>
      <c r="M13" s="15"/>
      <c r="N13" s="15"/>
    </row>
    <row r="14" spans="1:14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x14ac:dyDescent="0.25">
      <c r="A16" s="29" t="s">
        <v>2</v>
      </c>
      <c r="B16" s="30" t="s">
        <v>193</v>
      </c>
      <c r="C16" s="15"/>
      <c r="D16" s="42" t="s">
        <v>204</v>
      </c>
      <c r="E16" s="43"/>
      <c r="F16" s="44"/>
      <c r="G16" s="15"/>
      <c r="H16" s="15"/>
      <c r="I16" s="15"/>
      <c r="J16" s="15"/>
      <c r="K16" s="15"/>
      <c r="L16" s="15"/>
      <c r="M16" s="15"/>
      <c r="N16" s="15"/>
    </row>
    <row r="17" spans="1:14" ht="24.95" customHeight="1" x14ac:dyDescent="0.25">
      <c r="A17" s="31" t="s">
        <v>41</v>
      </c>
      <c r="B17" s="32">
        <f>SUMIFS(Controle!$H$2:$H$87,Controle!$C$2:$C$87,"EQUIPORT")-SUMIFS(Controle!$I$2:$I$87,Controle!$C$2:$C$87,"EQUIPORT")</f>
        <v>40</v>
      </c>
      <c r="C17" s="15"/>
      <c r="D17" s="45" t="s">
        <v>205</v>
      </c>
      <c r="E17" s="41"/>
      <c r="F17" s="46"/>
      <c r="G17" s="15"/>
      <c r="H17" s="15"/>
      <c r="I17" s="15"/>
      <c r="J17" s="15"/>
      <c r="K17" s="15"/>
      <c r="L17" s="15"/>
      <c r="M17" s="15"/>
      <c r="N17" s="15"/>
    </row>
    <row r="18" spans="1:14" ht="24.95" customHeight="1" x14ac:dyDescent="0.25">
      <c r="A18" s="31" t="s">
        <v>206</v>
      </c>
      <c r="B18" s="32">
        <f>SUM(Controle!$H$8,Controle!$H$30)-SUM(Controle!$I$8,Controle!$I$30)</f>
        <v>16</v>
      </c>
      <c r="C18" s="15"/>
      <c r="D18" s="45" t="str">
        <f>"Pendência concentrada: "&amp;TEXT(B20/A5,"0%")&amp;" das horas programadas."</f>
        <v>Pendência concentrada: 8% das horas programadas.</v>
      </c>
      <c r="E18" s="41"/>
      <c r="F18" s="46"/>
      <c r="G18" s="15"/>
      <c r="H18" s="15"/>
      <c r="I18" s="15"/>
      <c r="J18" s="15"/>
      <c r="K18" s="15"/>
      <c r="L18" s="15"/>
      <c r="M18" s="15"/>
      <c r="N18" s="15"/>
    </row>
    <row r="19" spans="1:14" ht="24.95" customHeight="1" x14ac:dyDescent="0.25">
      <c r="A19" s="31" t="s">
        <v>160</v>
      </c>
      <c r="B19" s="32">
        <f>SUMIFS(Controle!$H$2:$H$87,Controle!$C$2:$C$87,"TRANSTEC")-SUMIFS(Controle!$I$2:$I$87,Controle!$C$2:$C$87,"TRANSTEC")</f>
        <v>8</v>
      </c>
      <c r="C19" s="15"/>
      <c r="D19" s="47" t="str">
        <f>"Registros sem status: "&amp;E12</f>
        <v>Registros sem status: 0</v>
      </c>
      <c r="E19" s="48"/>
      <c r="F19" s="49"/>
      <c r="G19" s="15"/>
      <c r="H19" s="15"/>
      <c r="I19" s="15"/>
      <c r="J19" s="15"/>
      <c r="K19" s="15"/>
      <c r="L19" s="15"/>
      <c r="M19" s="15"/>
      <c r="N19" s="15"/>
    </row>
    <row r="20" spans="1:14" x14ac:dyDescent="0.25">
      <c r="A20" s="39" t="s">
        <v>203</v>
      </c>
      <c r="B20" s="40">
        <f>SUM(B17:B19)</f>
        <v>64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1:14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4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1:14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1:14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Controle</vt:lpstr>
      <vt:lpstr>Clientes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Diogo Marques</cp:lastModifiedBy>
  <cp:lastPrinted>2026-09-11T15:00:11Z</cp:lastPrinted>
  <dcterms:modified xsi:type="dcterms:W3CDTF">2026-09-14T11:53:07Z</dcterms:modified>
</cp:coreProperties>
</file>